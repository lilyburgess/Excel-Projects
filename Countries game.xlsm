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leeds365-my.sharepoint.com/personal/bn23l3b_leeds_ac_uk/Documents/Personal/excel projects/"/>
    </mc:Choice>
  </mc:AlternateContent>
  <xr:revisionPtr revIDLastSave="59" documentId="8_{32BE0CAF-FCE7-4006-88B8-D5F40B393934}" xr6:coauthVersionLast="47" xr6:coauthVersionMax="47" xr10:uidLastSave="{5F969F57-D999-4FCD-87F4-1DB299A4E3DB}"/>
  <bookViews>
    <workbookView xWindow="-110" yWindow="-110" windowWidth="19420" windowHeight="11500" activeTab="1" xr2:uid="{DC5A47A2-1138-4D90-96A3-4A798B9E7468}"/>
  </bookViews>
  <sheets>
    <sheet name="Instructions" sheetId="4" r:id="rId1"/>
    <sheet name="Game" sheetId="2" r:id="rId2"/>
    <sheet name="Countries" sheetId="1" r:id="rId3"/>
    <sheet name="Editing" sheetId="3" r:id="rId4"/>
  </sheets>
  <definedNames>
    <definedName name="_xleta.RAND" hidden="1" xlm="1">#NAME?</definedName>
    <definedName name="_xlpm.c" hidden="1" xlm="1">#NAME?</definedName>
    <definedName name="_xlpm.correct" hidden="1" xlm="1">#NAME?</definedName>
    <definedName name="_xlpm.g" hidden="1" xlm="1">#NAME?</definedName>
    <definedName name="_xlpm.guesses" hidden="1" xlm="1">#NAME?</definedName>
    <definedName name="_xlpm.matches" hidden="1" xlm="1">#NAME?</definedName>
    <definedName name="_xlpm.validCountries" hidden="1" xlm="1">#NAME?</definedName>
    <definedName name="_xlpm.validGuesses" hidden="1" xlm="1">#NAME?</definedName>
    <definedName name="Correct_guesses">Game!$C$3</definedName>
    <definedName name="Countries">Countries_table[Countries]</definedName>
    <definedName name="First_letter">Countries_table[First letter]</definedName>
    <definedName name="Guesses">Game!A1048571:A88</definedName>
    <definedName name="Number_of_countries">Countries_table[No. countries]</definedName>
    <definedName name="Percentage_completed">Game!$C$2</definedName>
    <definedName name="Target_letter">Game!$C$6</definedName>
    <definedName name="Target_letter_RAND">Game!$E$1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 l="1" a="1"/>
  <c r="C3" i="2" s="1"/>
  <c r="C2" i="2" a="1"/>
  <c r="C2" i="2" s="1"/>
  <c r="E1" i="2" a="1"/>
  <c r="E1" i="2" s="1"/>
  <c r="C148" i="1" a="1"/>
  <c r="C148" i="1" s="1"/>
  <c r="C145" i="1" a="1"/>
  <c r="C145" i="1" s="1"/>
  <c r="C144" i="1" a="1"/>
  <c r="C144" i="1" s="1"/>
  <c r="C135" i="1" a="1"/>
  <c r="C135" i="1" s="1"/>
  <c r="C134" i="1" a="1"/>
  <c r="C134" i="1" s="1"/>
  <c r="C124" i="1" a="1"/>
  <c r="C124" i="1" s="1"/>
  <c r="C106" i="1" a="1"/>
  <c r="C106" i="1" s="1"/>
  <c r="C97" i="1" a="1"/>
  <c r="C97" i="1" s="1"/>
  <c r="C89" i="1" a="1"/>
  <c r="C89" i="1" s="1"/>
  <c r="C86" i="1" a="1"/>
  <c r="C86" i="1" s="1"/>
  <c r="C78" i="1" a="1"/>
  <c r="C78" i="1" s="1"/>
  <c r="C75" i="1" a="1"/>
  <c r="C75" i="1" s="1"/>
  <c r="C64" i="1" a="1"/>
  <c r="C64" i="1" s="1"/>
  <c r="C61" i="1" a="1"/>
  <c r="C61" i="1" s="1"/>
  <c r="C52" i="1" a="1"/>
  <c r="C52" i="1" s="1"/>
  <c r="C48" i="1" a="1"/>
  <c r="C48" i="1" s="1"/>
  <c r="C30" i="1" a="1"/>
  <c r="C30" i="1" s="1"/>
  <c r="C13" i="1" a="1"/>
  <c r="C13" i="1" s="1"/>
  <c r="C2" i="1" a="1"/>
  <c r="C2" i="1" s="1"/>
  <c r="C173" i="1" a="1"/>
  <c r="C173" i="1" s="1"/>
  <c r="C4" i="2" l="1"/>
  <c r="G5" i="1" a="1"/>
  <c r="G5" i="1" s="1"/>
  <c r="C191" i="1" l="1" a="1"/>
  <c r="C191" i="1" s="1"/>
  <c r="C196" i="1" a="1"/>
  <c r="C196" i="1" s="1"/>
  <c r="C184" i="1" a="1"/>
  <c r="C184" i="1" s="1"/>
  <c r="C195" i="1" a="1"/>
  <c r="C195" i="1" s="1"/>
  <c r="D19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tc={1E8EDDDD-0C8B-47BF-BDB7-EE1ACFF934F7}</author>
  </authors>
  <commentList>
    <comment ref="E1" authorId="0" shapeId="0" xr:uid="{1E8EDDDD-0C8B-47BF-BDB7-EE1ACFF934F7}">
      <text>
        <t>[Threaded comment]
Your version of Excel allows you to read this threaded comment; however, any edits to it will get removed if the file is opened in a newer version of Excel. Learn more: https://go.microsoft.com/fwlink/?linkid=870924
Comment:
    RAND command: do not touch</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<sst xmlns="http://schemas.openxmlformats.org/spreadsheetml/2006/main" count="611" uniqueCount="241">
  <si>
    <t>Afghanistan</t>
  </si>
  <si>
    <t>Albania</t>
  </si>
  <si>
    <t>Algeria</t>
  </si>
  <si>
    <t>Andorra</t>
  </si>
  <si>
    <t>Angola</t>
  </si>
  <si>
    <t>Antigua and Barbuda</t>
  </si>
  <si>
    <t>Argentina</t>
  </si>
  <si>
    <t>Armenia</t>
  </si>
  <si>
    <t>Australia</t>
  </si>
  <si>
    <t>Austria</t>
  </si>
  <si>
    <t>Azerbaijan</t>
  </si>
  <si>
    <t>B</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</si>
  <si>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</si>
  <si>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</si>
  <si>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</si>
  <si>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</si>
  <si>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</si>
  <si>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</si>
  <si>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</si>
  <si>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</si>
  <si>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</si>
  <si>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</si>
  <si>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</si>
  <si>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</si>
  <si>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</si>
  <si>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</si>
  <si>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</si>
  <si>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</si>
  <si>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</si>
  <si>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</si>
  <si>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</si>
  <si>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</si>
  <si>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</si>
  <si>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</si>
  <si>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</si>
  <si>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</si>
  <si>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</si>
  <si>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</si>
  <si>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</si>
  <si>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</si>
  <si>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</si>
  <si>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</si>
  <si>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</si>
  <si>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</si>
  <si>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</si>
  <si>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</si>
  <si>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</si>
  <si>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</si>
  <si>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t>
  </si>
  <si>
    <t>Denmark</t>
  </si>
  <si>
    <t>Djibouti</t>
  </si>
  <si>
    <t>Dominica</t>
  </si>
  <si>
    <t>Dominican Republic</t>
  </si>
  <si>
    <t>E</t>
  </si>
  <si>
    <t>East Timor (Timor-Leste)</t>
  </si>
  <si>
    <t>Ecuador</t>
  </si>
  <si>
    <t>Egypt</t>
  </si>
  <si>
    <t>El Salvador</t>
  </si>
  <si>
    <t>Equatorial Guinea</t>
  </si>
  <si>
    <t>Eritrea</t>
  </si>
  <si>
    <t>Estonia</t>
  </si>
  <si>
    <t>Eswatini</t>
  </si>
  <si>
    <t>Ethiopia</t>
  </si>
  <si>
    <t>F</t>
  </si>
  <si>
    <t>Fiji</t>
  </si>
  <si>
    <t>Finland</t>
  </si>
  <si>
    <t>France</t>
  </si>
  <si>
    <t>G</t>
  </si>
  <si>
    <t>Gabon</t>
  </si>
  <si>
    <t>The Gambia</t>
  </si>
  <si>
    <t>Georgia</t>
  </si>
  <si>
    <t>Germany</t>
  </si>
  <si>
    <t>Ghana</t>
  </si>
  <si>
    <t>Greece</t>
  </si>
  <si>
    <t>Grenada</t>
  </si>
  <si>
    <t>Guatemala</t>
  </si>
  <si>
    <t>Guinea</t>
  </si>
  <si>
    <t>Guinea-Bissau</t>
  </si>
  <si>
    <t>Guyana</t>
  </si>
  <si>
    <t>H</t>
  </si>
  <si>
    <t>Haiti</t>
  </si>
  <si>
    <t>Honduras</t>
  </si>
  <si>
    <t>Hungary</t>
  </si>
  <si>
    <t>I</t>
  </si>
  <si>
    <t>Iceland</t>
  </si>
  <si>
    <t>India</t>
  </si>
  <si>
    <t>Indonesia</t>
  </si>
  <si>
    <t>Iran</t>
  </si>
  <si>
    <t>Iraq</t>
  </si>
  <si>
    <t>Ireland</t>
  </si>
  <si>
    <t>Israel</t>
  </si>
  <si>
    <t>Italy</t>
  </si>
  <si>
    <t>J</t>
  </si>
  <si>
    <t>Jamaica</t>
  </si>
  <si>
    <t>Japan</t>
  </si>
  <si>
    <t>Jordan</t>
  </si>
  <si>
    <t>K</t>
  </si>
  <si>
    <t>Kazakhstan</t>
  </si>
  <si>
    <t>Kenya</t>
  </si>
  <si>
    <t>Kiribati</t>
  </si>
  <si>
    <t>Korea, North</t>
  </si>
  <si>
    <t>Korea, South</t>
  </si>
  <si>
    <t>Kosovo</t>
  </si>
  <si>
    <t>Kuwait</t>
  </si>
  <si>
    <t>Kyrgyzstan</t>
  </si>
  <si>
    <t>L</t>
  </si>
  <si>
    <t>Laos</t>
  </si>
  <si>
    <t>Latvia</t>
  </si>
  <si>
    <t>Lebanon</t>
  </si>
  <si>
    <t>Lesotho</t>
  </si>
  <si>
    <t>Liberia</t>
  </si>
  <si>
    <t>Libya</t>
  </si>
  <si>
    <t>Liechtenstein</t>
  </si>
  <si>
    <t>Lithuania</t>
  </si>
  <si>
    <t>Luxembourg</t>
  </si>
  <si>
    <t>M</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</si>
  <si>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</si>
  <si>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</si>
  <si>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</si>
  <si>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</si>
  <si>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</si>
  <si>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</si>
  <si>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</si>
  <si>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</si>
  <si>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</si>
  <si>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</si>
  <si>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</si>
  <si>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</si>
  <si>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</si>
  <si>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</si>
  <si>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</si>
  <si>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</si>
  <si>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</si>
  <si>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</si>
  <si>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t>
  </si>
  <si>
    <t>Namibia</t>
  </si>
  <si>
    <t>Nauru</t>
  </si>
  <si>
    <t>Nepal</t>
  </si>
  <si>
    <t>Netherlands</t>
  </si>
  <si>
    <t>New Zealand</t>
  </si>
  <si>
    <t>Nicaragua</t>
  </si>
  <si>
    <t>Niger</t>
  </si>
  <si>
    <t>Nigeria</t>
  </si>
  <si>
    <t>North Macedonia</t>
  </si>
  <si>
    <t>Norway</t>
  </si>
  <si>
    <t>O</t>
  </si>
  <si>
    <t>Oman</t>
  </si>
  <si>
    <t>P</t>
  </si>
  <si>
    <t>Pakistan</t>
  </si>
  <si>
    <t>Palau</t>
  </si>
  <si>
    <t>Panama</t>
  </si>
  <si>
    <t>Papua New Guinea</t>
  </si>
  <si>
    <t>Paraguay</t>
  </si>
  <si>
    <t>Peru</t>
  </si>
  <si>
    <t>Philippines</t>
  </si>
  <si>
    <t>Poland</t>
  </si>
  <si>
    <t>Portugal</t>
  </si>
  <si>
    <t>Q</t>
  </si>
  <si>
    <t>Qatar</t>
  </si>
  <si>
    <t>R</t>
  </si>
  <si>
    <t>Romania</t>
  </si>
  <si>
    <t>Russia</t>
  </si>
  <si>
    <t>Rwanda</t>
  </si>
  <si>
    <t>S</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</si>
  <si>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</si>
  <si>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</si>
  <si>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</si>
  <si>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</si>
  <si>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</si>
  <si>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</si>
  <si>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</si>
  <si>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</si>
  <si>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</si>
  <si>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</si>
  <si>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</si>
  <si>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</si>
  <si>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</si>
  <si>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</si>
  <si>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</si>
  <si>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</si>
  <si>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</si>
  <si>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</si>
  <si>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</si>
  <si>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</si>
  <si>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Sudan, South</t>
  </si>
  <si>
    <t>Suriname</t>
  </si>
  <si>
    <t>Sweden</t>
  </si>
  <si>
    <t>Switzerland</t>
  </si>
  <si>
    <t>Syria</t>
  </si>
  <si>
    <t>T</t>
  </si>
  <si>
    <t>Taiwan</t>
  </si>
  <si>
    <t>Tajikistan</t>
  </si>
  <si>
    <t>Tanzania</t>
  </si>
  <si>
    <t>Thailand</t>
  </si>
  <si>
    <t>Togo</t>
  </si>
  <si>
    <t>Tonga</t>
  </si>
  <si>
    <t>Trinidad and Tobago</t>
  </si>
  <si>
    <t>Tunisia</t>
  </si>
  <si>
    <t>Turkey</t>
  </si>
  <si>
    <t>Turkmenistan</t>
  </si>
  <si>
    <t>Tuvalu</t>
  </si>
  <si>
    <t>U</t>
  </si>
  <si>
    <t>Uganda</t>
  </si>
  <si>
    <t>Ukraine</t>
  </si>
  <si>
    <t>United Arab Emirates</t>
  </si>
  <si>
    <t>United Kingdom</t>
  </si>
  <si>
    <t>United States</t>
  </si>
  <si>
    <t>Uruguay</t>
  </si>
  <si>
    <t>Uzbekistan</t>
  </si>
  <si>
    <t>V</t>
  </si>
  <si>
    <t>Vanuatu</t>
  </si>
  <si>
    <t>Vatican City</t>
  </si>
  <si>
    <t>Venezuela</t>
  </si>
  <si>
    <t>Vietnam</t>
  </si>
  <si>
    <t>Y</t>
  </si>
  <si>
    <t>Yemen</t>
  </si>
  <si>
    <t>Z</t>
  </si>
  <si>
    <t>Zambia</t>
  </si>
  <si>
    <t>Zimbabwe</t>
  </si>
  <si>
    <t>A</t>
  </si>
  <si>
    <t>Countries</t>
  </si>
  <si>
    <t>Links</t>
  </si>
  <si>
    <t>Most no. countries begin with:</t>
  </si>
  <si>
    <t>First letter</t>
  </si>
  <si>
    <t>No. countries</t>
  </si>
  <si>
    <t>Bahamas (The)</t>
  </si>
  <si>
    <t>Gambia (The)</t>
  </si>
  <si>
    <t>Name all countries beginning with the letter:</t>
  </si>
  <si>
    <t>% completed:</t>
  </si>
  <si>
    <t>Total no. countries to guess:</t>
  </si>
  <si>
    <t>No. countries correctly guessed so far:</t>
  </si>
  <si>
    <t>Sub GenerateRandomLetter()
    Dim letters As Range
    Dim uniqueLetters As Collection
    Dim cell As Range
    Dim letter As String
    Dim rng As Range
    Dim i As Long
    Set letters = Range("Countries!B2:B245") ' Adjust as needed
    Set uniqueLetters = New Collection
    On Error Resume Next
    For Each cell In letters
        letter = Left(cell.Value, 1)
        If letter &lt;&gt; "" Then uniqueLetters.Add letter, letter
    Next cell
    On Error GoTo 0
    If uniqueLetters.Count &gt; 0 Then
        Randomize
        i = Int(Rnd() * uniqueLetters.Count) + 1
        Range("C6").Value = uniqueLetters(i) ' Adjust target cell
    End If
End Sub</t>
  </si>
  <si>
    <t>RANDOM COUNTRY GENERATOR:</t>
  </si>
  <si>
    <t>Press Fn + F9 to generate</t>
  </si>
  <si>
    <t>Country Quiz</t>
  </si>
  <si>
    <t>#</t>
  </si>
  <si>
    <r>
      <t>Alt + F11 (VBA editor) &gt; Insert &gt; Module &gt; [</t>
    </r>
    <r>
      <rPr>
        <b/>
        <i/>
        <sz val="11"/>
        <color theme="5" tint="-0.499984740745262"/>
        <rFont val="Aptos Narrow"/>
        <family val="2"/>
        <scheme val="minor"/>
      </rPr>
      <t>paste macro code] &gt; exit &gt;Developer tab &gt; Insert &gt; Button &gt; link to 'GenerateRandomLetter'</t>
    </r>
  </si>
  <si>
    <r>
      <rPr>
        <b/>
        <sz val="11"/>
        <color theme="5" tint="-0.499984740745262"/>
        <rFont val="Aptos Narrow"/>
        <family val="2"/>
        <scheme val="minor"/>
      </rPr>
      <t>UNLOCK WORKSHEET PASSWORD:</t>
    </r>
    <r>
      <rPr>
        <sz val="11"/>
        <color theme="5" tint="-0.499984740745262"/>
        <rFont val="Aptos Narrow"/>
        <family val="2"/>
        <scheme val="minor"/>
      </rPr>
      <t xml:space="preserve"> lily</t>
    </r>
  </si>
  <si>
    <r>
      <rPr>
        <b/>
        <sz val="11"/>
        <color theme="9" tint="-0.499984740745262"/>
        <rFont val="Aptos Narrow"/>
        <family val="2"/>
        <scheme val="minor"/>
      </rPr>
      <t xml:space="preserve">&gt;&gt;&gt;&gt;&gt;&gt;&gt;&gt;&gt;&gt;&gt;&gt;&gt;&gt;&gt;&gt;&gt;&gt;&gt;&gt;&gt;&gt;&gt;&gt;&gt;&gt;&gt;&gt;&gt;&gt;&gt;&gt;&gt;&gt;&gt;&gt;&gt;&gt;&gt;&gt;&gt;&gt;&gt;&gt;&gt;&gt;&gt;&gt;&gt;&gt;&gt;&gt;&gt;&gt;&gt;&gt;&gt;&gt;&gt;&gt;&gt;&gt;&gt;&gt;&gt;&gt;&gt;&gt;&gt;&gt;&gt;&gt;&gt;&gt;&gt;&gt;&gt;&gt;
Aim of the game:
</t>
    </r>
    <r>
      <rPr>
        <sz val="11"/>
        <color theme="9" tint="-0.499984740745262"/>
        <rFont val="Aptos Narrow"/>
        <family val="2"/>
        <scheme val="minor"/>
      </rPr>
      <t xml:space="preserve">To guess as many countries as you can that begin with each letter
</t>
    </r>
    <r>
      <rPr>
        <b/>
        <sz val="11"/>
        <color theme="9" tint="-0.499984740745262"/>
        <rFont val="Aptos Narrow"/>
        <family val="2"/>
        <scheme val="minor"/>
      </rPr>
      <t xml:space="preserve">
How to play:
</t>
    </r>
    <r>
      <rPr>
        <sz val="11"/>
        <color theme="9" tint="-0.499984740745262"/>
        <rFont val="Aptos Narrow"/>
        <family val="2"/>
        <scheme val="minor"/>
      </rPr>
      <t xml:space="preserve">1. On the 'Game' sheet, click the button "Click here to generate a letter"
2. A letter will appear the the right of "Name all countries beginning with the letter:"
3. In the grey space underneath this letter, list all the countries you can that begin with the specified letter, giving each country its own row/cell (press Enter to list another country)
4. You do not need to capitalise, but the game will not accept incorrect spellings. A green cell means a correct guess, a red cell means an incorrect guess
5. Use the progress tracker above the game to see how many countries there are with the specified letter, and how many you have left to guess. "% completed" shows how close you are to completing the game, and will turn green when you have done so
</t>
    </r>
    <r>
      <rPr>
        <b/>
        <sz val="11"/>
        <color theme="9" tint="-0.499984740745262"/>
        <rFont val="Aptos Narrow"/>
        <family val="2"/>
        <scheme val="minor"/>
      </rPr>
      <t xml:space="preserve">
</t>
    </r>
    <r>
      <rPr>
        <i/>
        <sz val="11"/>
        <color theme="9" tint="-0.499984740745262"/>
        <rFont val="Aptos Narrow"/>
        <family val="2"/>
        <scheme val="minor"/>
      </rPr>
      <t xml:space="preserve">Answers/a full list of countries are under the 'Countries' sheet
The 'Editing' sheet has information about how to change the sheet
</t>
    </r>
    <r>
      <rPr>
        <b/>
        <i/>
        <sz val="11"/>
        <color theme="9" tint="-0.499984740745262"/>
        <rFont val="Aptos Narrow"/>
        <family val="2"/>
        <scheme val="minor"/>
      </rPr>
      <t xml:space="preserve">
Enjoy!       </t>
    </r>
    <r>
      <rPr>
        <b/>
        <sz val="11"/>
        <color theme="9" tint="-0.499984740745262"/>
        <rFont val="Aptos Narrow"/>
        <family val="2"/>
        <scheme val="minor"/>
      </rPr>
      <t xml:space="preserve">                                                                                                                                                                                                                                           
&gt;&gt;&gt;&gt;&gt;&gt;&gt;&gt;&gt;&gt;&gt;&gt;&gt;&gt;&gt;&gt;&gt;&gt;&gt;&gt;&gt;&gt;&gt;&gt;&gt;&gt;&gt;&gt;&gt;&gt;&gt;&gt;&gt;&gt;&gt;&gt;&gt;&gt;&gt;&gt;&gt;&gt;&gt;&gt;&gt;&gt;&gt;&gt;&gt;&gt;&gt;&gt;&gt;&gt;&gt;&gt;&gt;&gt;&gt;&gt;&gt;&gt;&gt;&gt;&gt;&gt;&gt;&gt;&gt;&gt;&gt;&gt;&gt;&gt;&gt;&gt;&gt;&gt;</t>
    </r>
  </si>
  <si>
    <t>Virgin islands</t>
  </si>
  <si>
    <t>Vatican 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</si>
</sst>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theme="6" tint="-0.499984740745262"/>
      <name val="Aptos Narrow"/>
      <family val="2"/>
      <scheme val="minor"/>
    </font>
    <font>
      <b/>
      <sz val="11"/>
      <color theme="6" tint="-0.499984740745262"/>
      <name val="Aptos Narrow"/>
      <family val="2"/>
      <scheme val="minor"/>
    </font>
    <font>
      <sz val="11"/>
      <color theme="1"/>
      <name val="Aptos Narrow"/>
      <family val="2"/>
      <scheme val="minor"/>
    </font>
    <font>
      <sz val="11"/>
      <name val="Aptos Narrow"/>
      <family val="2"/>
      <scheme val="minor"/>
    </font>
    <font>
      <sz val="9"/>
      <color indexed="81"/>
      <name val="Tahoma"/>
      <family val="2"/>
    </font>
    <font>
      <sz val="11"/>
      <color theme="9" tint="-0.499984740745262"/>
      <name val="Aptos Narrow"/>
      <family val="2"/>
      <scheme val="minor"/>
    </font>
    <font>
      <b/>
      <sz val="11"/>
      <color theme="9" tint="-0.499984740745262"/>
      <name val="Aptos Narrow"/>
      <family val="2"/>
      <scheme val="minor"/>
    </font>
    <font>
      <b/>
      <sz val="30"/>
      <color theme="9" tint="-0.499984740745262"/>
      <name val="Aptos Narrow"/>
      <family val="2"/>
      <scheme val="minor"/>
    </font>
    <font>
      <i/>
      <sz val="11"/>
      <color theme="9" tint="-0.499984740745262"/>
      <name val="Aptos Narrow"/>
      <family val="2"/>
      <scheme val="minor"/>
    </font>
    <font>
      <b/>
      <i/>
      <sz val="11"/>
      <color theme="9" tint="-0.499984740745262"/>
      <name val="Aptos Narrow"/>
      <family val="2"/>
      <scheme val="minor"/>
    </font>
    <font>
      <b/>
      <i/>
      <sz val="11"/>
      <color theme="5" tint="-0.499984740745262"/>
      <name val="Aptos Narrow"/>
      <family val="2"/>
      <scheme val="minor"/>
    </font>
    <font>
      <sz val="11"/>
      <color theme="5" tint="-0.499984740745262"/>
      <name val="Aptos Narrow"/>
      <family val="2"/>
      <scheme val="minor"/>
    </font>
    <font>
      <b/>
      <sz val="11"/>
      <color theme="5" tint="-0.499984740745262"/>
      <name val="Aptos Narrow"/>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2" tint="-9.9978637043366805E-2"/>
        <bgColor indexed="64"/>
      </patternFill>
    </fill>
    <fill>
      <patternFill patternType="solid">
        <fgColor theme="5" tint="0.39997558519241921"/>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thick">
        <color theme="9" tint="-0.499984740745262"/>
      </left>
      <right style="thick">
        <color theme="9" tint="-0.499984740745262"/>
      </right>
      <top/>
      <bottom style="thick">
        <color theme="9" tint="-0.499984740745262"/>
      </bottom>
      <diagonal/>
    </border>
    <border>
      <left/>
      <right style="thick">
        <color theme="9" tint="-0.499984740745262"/>
      </right>
      <top style="thick">
        <color theme="9" tint="-0.499984740745262"/>
      </top>
      <bottom style="thick">
        <color theme="9" tint="-0.499984740745262"/>
      </bottom>
      <diagonal/>
    </border>
    <border>
      <left style="thick">
        <color theme="9" tint="-0.499984740745262"/>
      </left>
      <right/>
      <top style="thick">
        <color theme="9" tint="-0.499984740745262"/>
      </top>
      <bottom style="thick">
        <color theme="9" tint="-0.499984740745262"/>
      </bottom>
      <diagonal/>
    </border>
    <border>
      <left style="dotted">
        <color theme="9" tint="-0.499984740745262"/>
      </left>
      <right style="dotted">
        <color theme="9" tint="-0.499984740745262"/>
      </right>
      <top/>
      <bottom style="dotted">
        <color theme="9" tint="-0.499984740745262"/>
      </bottom>
      <diagonal/>
    </border>
    <border>
      <left style="thick">
        <color theme="5" tint="-0.499984740745262"/>
      </left>
      <right style="thick">
        <color theme="5" tint="-0.499984740745262"/>
      </right>
      <top style="thick">
        <color theme="5" tint="-0.499984740745262"/>
      </top>
      <bottom style="thick">
        <color theme="5" tint="-0.499984740745262"/>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23">
    <xf numFmtId="0" fontId="0" fillId="0" borderId="0" xfId="0"/>
    <xf numFmtId="0" fontId="2" fillId="0" borderId="0" xfId="1" applyAlignment="1">
      <alignment horizontal="left" vertical="center" indent="1"/>
    </xf>
    <xf numFmtId="0" fontId="1" fillId="0" borderId="0" xfId="0" applyFont="1"/>
    <xf numFmtId="1" fontId="0" fillId="0" borderId="0" xfId="0" applyNumberFormat="1"/>
    <xf numFmtId="0" fontId="1" fillId="0" borderId="2" xfId="0" applyFont="1" applyBorder="1"/>
    <xf numFmtId="0" fontId="0" fillId="0" borderId="4" xfId="0" applyBorder="1"/>
    <xf numFmtId="0" fontId="1" fillId="0" borderId="6" xfId="0" applyFont="1" applyBorder="1"/>
    <xf numFmtId="9" fontId="1" fillId="0" borderId="3" xfId="2" applyFont="1" applyBorder="1"/>
    <xf numFmtId="0" fontId="0" fillId="0" borderId="7" xfId="0" applyBorder="1"/>
    <xf numFmtId="0" fontId="1" fillId="0" borderId="5" xfId="0" applyFont="1" applyBorder="1"/>
    <xf numFmtId="0" fontId="6" fillId="0" borderId="0" xfId="0" applyFont="1"/>
    <xf numFmtId="0" fontId="1" fillId="4" borderId="1" xfId="0" applyFont="1" applyFill="1" applyBorder="1"/>
    <xf numFmtId="0" fontId="8" fillId="2" borderId="9" xfId="0" applyFont="1" applyFill="1" applyBorder="1" applyAlignment="1">
      <alignment wrapText="1"/>
    </xf>
    <xf numFmtId="0" fontId="10" fillId="2" borderId="8" xfId="0" applyFont="1" applyFill="1" applyBorder="1"/>
    <xf numFmtId="0" fontId="9" fillId="2" borderId="11" xfId="0" applyFont="1" applyFill="1" applyBorder="1" applyAlignment="1">
      <alignment horizontal="left"/>
    </xf>
    <xf numFmtId="0" fontId="8" fillId="2" borderId="10" xfId="0" applyFont="1" applyFill="1" applyBorder="1" applyAlignment="1">
      <alignment horizontal="left"/>
    </xf>
    <xf numFmtId="1" fontId="3" fillId="2" borderId="10" xfId="0" applyNumberFormat="1" applyFont="1" applyFill="1" applyBorder="1"/>
    <xf numFmtId="0" fontId="4" fillId="2" borderId="11" xfId="0" applyFont="1" applyFill="1" applyBorder="1"/>
    <xf numFmtId="0" fontId="13" fillId="4" borderId="13" xfId="0" applyFont="1" applyFill="1" applyBorder="1" applyAlignment="1">
      <alignment vertical="center"/>
    </xf>
    <xf numFmtId="0" fontId="14" fillId="4" borderId="1" xfId="0" applyFont="1" applyFill="1" applyBorder="1" applyAlignment="1">
      <alignment wrapText="1"/>
    </xf>
    <xf numFmtId="0" fontId="15" fillId="4" borderId="1" xfId="0" applyFont="1" applyFill="1" applyBorder="1"/>
    <xf numFmtId="0" fontId="14" fillId="4" borderId="1" xfId="0" applyFont="1" applyFill="1" applyBorder="1"/>
    <xf numFmtId="0" fontId="0" fillId="3" borderId="12" xfId="0" applyFill="1" applyBorder="1" applyProtection="1">
      <protection locked="0"/>
    </xf>
  </cellXfs>
  <cellStyles count="3">
    <cellStyle name="Hyperlink" xfId="1" builtinId="8"/>
    <cellStyle name="Normal" xfId="0" builtinId="0"/>
    <cellStyle name="Per cent" xfId="2" builtinId="5"/>
  </cellStyles>
  <dxfs count="9">
    <dxf>
      <font>
        <color theme="9" tint="0.79998168889431442"/>
      </font>
      <fill>
        <patternFill>
          <bgColor theme="9" tint="-0.499984740745262"/>
        </patternFill>
      </fill>
    </dxf>
    <dxf>
      <font>
        <color theme="9" tint="0.79998168889431442"/>
      </font>
      <fill>
        <patternFill>
          <bgColor theme="9" tint="-0.24994659260841701"/>
        </patternFill>
      </fill>
    </dxf>
    <dxf>
      <font>
        <color theme="5" tint="0.79998168889431442"/>
      </font>
      <fill>
        <patternFill>
          <bgColor rgb="FFC00000"/>
        </patternFill>
      </fil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ertAlign val="baseline"/>
        <sz val="11"/>
        <color theme="10"/>
        <name val="Aptos Narrow"/>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s>
  <tableStyles count="1" defaultTableStyle="TableStyleMedium2" defaultPivotStyle="PivotStyleLight16">
    <tableStyle name="Table Style 1" pivot="0" count="0" xr9:uid="{7035317E-62BE-477D-9C2C-67C9A2D0071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215899</xdr:colOff>
          <xdr:row>6</xdr:row>
          <xdr:rowOff>69850</xdr:rowOff>
        </xdr:from>
        <xdr:to>
          <xdr:col>7</xdr:col>
          <xdr:colOff>493888</xdr:colOff>
          <xdr:row>8</xdr:row>
          <xdr:rowOff>141112</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Click here to generate a letter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ily Burgess [bn23l3b]" id="{F593A97C-38C0-4F86-BF5F-39576529556E}" userId="S::bn23l3b@leeds.ac.uk::276f1c85-2841-4327-b7e4-75522a7d950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062493-82C7-4E8B-BC0A-E43EDF8C7443}" name="Countries_table" displayName="Countries_table" ref="A1:D198" totalsRowCount="1" headerRowDxfId="8" dataDxfId="7">
  <autoFilter ref="A1:D197" xr:uid="{E6062493-82C7-4E8B-BC0A-E43EDF8C7443}"/>
  <tableColumns count="4">
    <tableColumn id="1" xr3:uid="{AAC7D127-8C46-42C1-967E-012DBD42298C}" name="Links" totalsRowLabel="Most no. countries begin with:" dataDxfId="6" dataCellStyle="Hyperlink"/>
    <tableColumn id="2" xr3:uid="{838D3BCA-10EB-4E09-A408-4CCC7E559479}" name="First letter" dataDxfId="5"/>
    <tableColumn id="3" xr3:uid="{4001963A-FECB-4B7B-ABA1-851A942148DC}" name="No. countries" dataDxfId="4"/>
    <tableColumn id="4" xr3:uid="{348E5B6A-C975-4DB1-8D93-829B95BE5CFD}" name="Countries" totalsRowFunction="custom" dataDxfId="3">
      <totalsRowFormula>INDEX(B2:B197, MATCH(MAX(C2:C197), C2:C197, 0))</totalsRow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1" dT="2025-03-26T14:42:49.32" personId="{F593A97C-38C0-4F86-BF5F-39576529556E}" id="{1E8EDDDD-0C8B-47BF-BDB7-EE1ACFF934F7}">
    <text>RAND command: do not touch</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https://www.britannica.com/place/Monaco" TargetMode="External"/><Relationship Id="rId21" Type="http://schemas.openxmlformats.org/officeDocument/2006/relationships/hyperlink" Target="https://www.britannica.com/place/Bolivia" TargetMode="External"/><Relationship Id="rId42" Type="http://schemas.openxmlformats.org/officeDocument/2006/relationships/hyperlink" Target="https://www.britannica.com/place/Cote-dIvoire" TargetMode="External"/><Relationship Id="rId63" Type="http://schemas.openxmlformats.org/officeDocument/2006/relationships/hyperlink" Target="https://www.britannica.com/place/Gabon" TargetMode="External"/><Relationship Id="rId84" Type="http://schemas.openxmlformats.org/officeDocument/2006/relationships/hyperlink" Target="https://www.britannica.com/place/Italy" TargetMode="External"/><Relationship Id="rId138" Type="http://schemas.openxmlformats.org/officeDocument/2006/relationships/hyperlink" Target="https://www.britannica.com/place/Paraguay" TargetMode="External"/><Relationship Id="rId159" Type="http://schemas.openxmlformats.org/officeDocument/2006/relationships/hyperlink" Target="https://www.britannica.com/place/Slovakia" TargetMode="External"/><Relationship Id="rId170" Type="http://schemas.openxmlformats.org/officeDocument/2006/relationships/hyperlink" Target="https://www.britannica.com/place/Switzerland" TargetMode="External"/><Relationship Id="rId191" Type="http://schemas.openxmlformats.org/officeDocument/2006/relationships/hyperlink" Target="https://www.britannica.com/place/Vatican-City" TargetMode="External"/><Relationship Id="rId107" Type="http://schemas.openxmlformats.org/officeDocument/2006/relationships/hyperlink" Target="https://www.britannica.com/place/Malaysia" TargetMode="External"/><Relationship Id="rId11" Type="http://schemas.openxmlformats.org/officeDocument/2006/relationships/hyperlink" Target="https://www.britannica.com/place/Azerbaijan" TargetMode="External"/><Relationship Id="rId32" Type="http://schemas.openxmlformats.org/officeDocument/2006/relationships/hyperlink" Target="https://www.britannica.com/place/Canada" TargetMode="External"/><Relationship Id="rId53" Type="http://schemas.openxmlformats.org/officeDocument/2006/relationships/hyperlink" Target="https://www.britannica.com/place/Egypt" TargetMode="External"/><Relationship Id="rId74" Type="http://schemas.openxmlformats.org/officeDocument/2006/relationships/hyperlink" Target="https://www.britannica.com/place/Haiti" TargetMode="External"/><Relationship Id="rId128" Type="http://schemas.openxmlformats.org/officeDocument/2006/relationships/hyperlink" Target="https://www.britannica.com/place/Nicaragua" TargetMode="External"/><Relationship Id="rId149" Type="http://schemas.openxmlformats.org/officeDocument/2006/relationships/hyperlink" Target="https://www.britannica.com/place/Saint-Vincent-and-the-Grenadines" TargetMode="External"/><Relationship Id="rId5" Type="http://schemas.openxmlformats.org/officeDocument/2006/relationships/hyperlink" Target="https://www.britannica.com/place/Angola" TargetMode="External"/><Relationship Id="rId95" Type="http://schemas.openxmlformats.org/officeDocument/2006/relationships/hyperlink" Target="https://www.britannica.com/place/Kyrgyzstan" TargetMode="External"/><Relationship Id="rId160" Type="http://schemas.openxmlformats.org/officeDocument/2006/relationships/hyperlink" Target="https://www.britannica.com/place/Slovenia" TargetMode="External"/><Relationship Id="rId181" Type="http://schemas.openxmlformats.org/officeDocument/2006/relationships/hyperlink" Target="https://www.britannica.com/place/Turkmenistan" TargetMode="External"/><Relationship Id="rId22" Type="http://schemas.openxmlformats.org/officeDocument/2006/relationships/hyperlink" Target="https://www.britannica.com/place/Bosnia-and-Herzegovina" TargetMode="External"/><Relationship Id="rId43" Type="http://schemas.openxmlformats.org/officeDocument/2006/relationships/hyperlink" Target="https://www.britannica.com/place/Croatia" TargetMode="External"/><Relationship Id="rId64" Type="http://schemas.openxmlformats.org/officeDocument/2006/relationships/hyperlink" Target="https://www.britannica.com/place/The-Gambia" TargetMode="External"/><Relationship Id="rId118" Type="http://schemas.openxmlformats.org/officeDocument/2006/relationships/hyperlink" Target="https://www.britannica.com/place/Mongolia" TargetMode="External"/><Relationship Id="rId139" Type="http://schemas.openxmlformats.org/officeDocument/2006/relationships/hyperlink" Target="https://www.britannica.com/place/Peru" TargetMode="External"/><Relationship Id="rId85" Type="http://schemas.openxmlformats.org/officeDocument/2006/relationships/hyperlink" Target="https://www.britannica.com/place/Jamaica" TargetMode="External"/><Relationship Id="rId150" Type="http://schemas.openxmlformats.org/officeDocument/2006/relationships/hyperlink" Target="https://www.britannica.com/place/Samoa-island-nation-Pacific-Ocean" TargetMode="External"/><Relationship Id="rId171" Type="http://schemas.openxmlformats.org/officeDocument/2006/relationships/hyperlink" Target="https://www.britannica.com/place/Syria" TargetMode="External"/><Relationship Id="rId192" Type="http://schemas.openxmlformats.org/officeDocument/2006/relationships/hyperlink" Target="https://www.britannica.com/place/Venezuela" TargetMode="External"/><Relationship Id="rId12" Type="http://schemas.openxmlformats.org/officeDocument/2006/relationships/hyperlink" Target="https://www.britannica.com/place/The-Bahamas" TargetMode="External"/><Relationship Id="rId33" Type="http://schemas.openxmlformats.org/officeDocument/2006/relationships/hyperlink" Target="https://www.britannica.com/place/Central-African-Republic" TargetMode="External"/><Relationship Id="rId108" Type="http://schemas.openxmlformats.org/officeDocument/2006/relationships/hyperlink" Target="https://www.britannica.com/place/Maldives" TargetMode="External"/><Relationship Id="rId129" Type="http://schemas.openxmlformats.org/officeDocument/2006/relationships/hyperlink" Target="https://www.britannica.com/place/Niger" TargetMode="External"/><Relationship Id="rId54" Type="http://schemas.openxmlformats.org/officeDocument/2006/relationships/hyperlink" Target="https://www.britannica.com/place/El-Salvador" TargetMode="External"/><Relationship Id="rId75" Type="http://schemas.openxmlformats.org/officeDocument/2006/relationships/hyperlink" Target="https://www.britannica.com/place/Honduras" TargetMode="External"/><Relationship Id="rId96" Type="http://schemas.openxmlformats.org/officeDocument/2006/relationships/hyperlink" Target="https://www.britannica.com/place/Laos" TargetMode="External"/><Relationship Id="rId140" Type="http://schemas.openxmlformats.org/officeDocument/2006/relationships/hyperlink" Target="https://www.britannica.com/place/Philippines" TargetMode="External"/><Relationship Id="rId161" Type="http://schemas.openxmlformats.org/officeDocument/2006/relationships/hyperlink" Target="https://www.britannica.com/place/Solomon-Islands" TargetMode="External"/><Relationship Id="rId182" Type="http://schemas.openxmlformats.org/officeDocument/2006/relationships/hyperlink" Target="https://www.britannica.com/place/Tuvalu" TargetMode="External"/><Relationship Id="rId6" Type="http://schemas.openxmlformats.org/officeDocument/2006/relationships/hyperlink" Target="https://www.britannica.com/place/Antigua-and-Barbuda" TargetMode="External"/><Relationship Id="rId23" Type="http://schemas.openxmlformats.org/officeDocument/2006/relationships/hyperlink" Target="https://www.britannica.com/place/Botswana" TargetMode="External"/><Relationship Id="rId119" Type="http://schemas.openxmlformats.org/officeDocument/2006/relationships/hyperlink" Target="https://www.britannica.com/place/Montenegro" TargetMode="External"/><Relationship Id="rId44" Type="http://schemas.openxmlformats.org/officeDocument/2006/relationships/hyperlink" Target="https://www.britannica.com/place/Cuba" TargetMode="External"/><Relationship Id="rId65" Type="http://schemas.openxmlformats.org/officeDocument/2006/relationships/hyperlink" Target="https://www.britannica.com/place/Georgia" TargetMode="External"/><Relationship Id="rId86" Type="http://schemas.openxmlformats.org/officeDocument/2006/relationships/hyperlink" Target="https://www.britannica.com/place/Japan" TargetMode="External"/><Relationship Id="rId130" Type="http://schemas.openxmlformats.org/officeDocument/2006/relationships/hyperlink" Target="https://www.britannica.com/place/Nigeria" TargetMode="External"/><Relationship Id="rId151" Type="http://schemas.openxmlformats.org/officeDocument/2006/relationships/hyperlink" Target="https://www.britannica.com/place/San-Marino-republic-Europe" TargetMode="External"/><Relationship Id="rId172" Type="http://schemas.openxmlformats.org/officeDocument/2006/relationships/hyperlink" Target="https://www.britannica.com/place/Taiwan" TargetMode="External"/><Relationship Id="rId193" Type="http://schemas.openxmlformats.org/officeDocument/2006/relationships/hyperlink" Target="https://www.britannica.com/place/Vietnam" TargetMode="External"/><Relationship Id="rId13" Type="http://schemas.openxmlformats.org/officeDocument/2006/relationships/hyperlink" Target="https://www.britannica.com/place/Bahrain" TargetMode="External"/><Relationship Id="rId109" Type="http://schemas.openxmlformats.org/officeDocument/2006/relationships/hyperlink" Target="https://www.britannica.com/place/Mali" TargetMode="External"/><Relationship Id="rId34" Type="http://schemas.openxmlformats.org/officeDocument/2006/relationships/hyperlink" Target="https://www.britannica.com/place/Chad" TargetMode="External"/><Relationship Id="rId55" Type="http://schemas.openxmlformats.org/officeDocument/2006/relationships/hyperlink" Target="https://www.britannica.com/place/Equatorial-Guinea" TargetMode="External"/><Relationship Id="rId76" Type="http://schemas.openxmlformats.org/officeDocument/2006/relationships/hyperlink" Target="https://www.britannica.com/place/Hungary" TargetMode="External"/><Relationship Id="rId97" Type="http://schemas.openxmlformats.org/officeDocument/2006/relationships/hyperlink" Target="https://www.britannica.com/place/Latvia" TargetMode="External"/><Relationship Id="rId120" Type="http://schemas.openxmlformats.org/officeDocument/2006/relationships/hyperlink" Target="https://www.britannica.com/place/Morocco" TargetMode="External"/><Relationship Id="rId141" Type="http://schemas.openxmlformats.org/officeDocument/2006/relationships/hyperlink" Target="https://www.britannica.com/place/Poland" TargetMode="External"/><Relationship Id="rId7" Type="http://schemas.openxmlformats.org/officeDocument/2006/relationships/hyperlink" Target="https://www.britannica.com/place/Argentina" TargetMode="External"/><Relationship Id="rId71" Type="http://schemas.openxmlformats.org/officeDocument/2006/relationships/hyperlink" Target="https://www.britannica.com/place/Guinea" TargetMode="External"/><Relationship Id="rId92" Type="http://schemas.openxmlformats.org/officeDocument/2006/relationships/hyperlink" Target="https://www.britannica.com/place/South-Korea" TargetMode="External"/><Relationship Id="rId162" Type="http://schemas.openxmlformats.org/officeDocument/2006/relationships/hyperlink" Target="https://www.britannica.com/place/Somalia" TargetMode="External"/><Relationship Id="rId183" Type="http://schemas.openxmlformats.org/officeDocument/2006/relationships/hyperlink" Target="https://www.britannica.com/place/Uganda" TargetMode="External"/><Relationship Id="rId2" Type="http://schemas.openxmlformats.org/officeDocument/2006/relationships/hyperlink" Target="https://www.britannica.com/place/Albania" TargetMode="External"/><Relationship Id="rId29" Type="http://schemas.openxmlformats.org/officeDocument/2006/relationships/hyperlink" Target="https://www.britannica.com/place/Cabo-Verde" TargetMode="External"/><Relationship Id="rId24" Type="http://schemas.openxmlformats.org/officeDocument/2006/relationships/hyperlink" Target="https://www.britannica.com/place/Brazil" TargetMode="External"/><Relationship Id="rId40" Type="http://schemas.openxmlformats.org/officeDocument/2006/relationships/hyperlink" Target="https://www.britannica.com/place/Republic-of-the-Congo" TargetMode="External"/><Relationship Id="rId45" Type="http://schemas.openxmlformats.org/officeDocument/2006/relationships/hyperlink" Target="https://www.britannica.com/place/Cyprus" TargetMode="External"/><Relationship Id="rId66" Type="http://schemas.openxmlformats.org/officeDocument/2006/relationships/hyperlink" Target="https://www.britannica.com/place/Germany" TargetMode="External"/><Relationship Id="rId87" Type="http://schemas.openxmlformats.org/officeDocument/2006/relationships/hyperlink" Target="https://www.britannica.com/place/Jordan" TargetMode="External"/><Relationship Id="rId110" Type="http://schemas.openxmlformats.org/officeDocument/2006/relationships/hyperlink" Target="https://www.britannica.com/place/Malta" TargetMode="External"/><Relationship Id="rId115" Type="http://schemas.openxmlformats.org/officeDocument/2006/relationships/hyperlink" Target="https://www.britannica.com/place/Micronesia-republic-Pacific-Ocean" TargetMode="External"/><Relationship Id="rId131" Type="http://schemas.openxmlformats.org/officeDocument/2006/relationships/hyperlink" Target="https://www.britannica.com/place/North-Macedonia" TargetMode="External"/><Relationship Id="rId136" Type="http://schemas.openxmlformats.org/officeDocument/2006/relationships/hyperlink" Target="https://www.britannica.com/place/Panama" TargetMode="External"/><Relationship Id="rId157" Type="http://schemas.openxmlformats.org/officeDocument/2006/relationships/hyperlink" Target="https://www.britannica.com/place/Sierra-Leone" TargetMode="External"/><Relationship Id="rId178" Type="http://schemas.openxmlformats.org/officeDocument/2006/relationships/hyperlink" Target="https://www.britannica.com/place/Trinidad-and-Tobago" TargetMode="External"/><Relationship Id="rId61" Type="http://schemas.openxmlformats.org/officeDocument/2006/relationships/hyperlink" Target="https://www.britannica.com/place/Finland" TargetMode="External"/><Relationship Id="rId82" Type="http://schemas.openxmlformats.org/officeDocument/2006/relationships/hyperlink" Target="https://www.britannica.com/place/Ireland" TargetMode="External"/><Relationship Id="rId152" Type="http://schemas.openxmlformats.org/officeDocument/2006/relationships/hyperlink" Target="https://www.britannica.com/place/Sao-Tome-and-Principe" TargetMode="External"/><Relationship Id="rId173" Type="http://schemas.openxmlformats.org/officeDocument/2006/relationships/hyperlink" Target="https://www.britannica.com/place/Tajikistan" TargetMode="External"/><Relationship Id="rId194" Type="http://schemas.openxmlformats.org/officeDocument/2006/relationships/hyperlink" Target="https://www.britannica.com/place/Yemen" TargetMode="External"/><Relationship Id="rId19" Type="http://schemas.openxmlformats.org/officeDocument/2006/relationships/hyperlink" Target="https://www.britannica.com/place/Benin" TargetMode="External"/><Relationship Id="rId14" Type="http://schemas.openxmlformats.org/officeDocument/2006/relationships/hyperlink" Target="https://www.britannica.com/place/Bangladesh" TargetMode="External"/><Relationship Id="rId30" Type="http://schemas.openxmlformats.org/officeDocument/2006/relationships/hyperlink" Target="https://www.britannica.com/place/Cambodia" TargetMode="External"/><Relationship Id="rId35" Type="http://schemas.openxmlformats.org/officeDocument/2006/relationships/hyperlink" Target="https://www.britannica.com/place/Chile" TargetMode="External"/><Relationship Id="rId56" Type="http://schemas.openxmlformats.org/officeDocument/2006/relationships/hyperlink" Target="https://www.britannica.com/place/Eritrea" TargetMode="External"/><Relationship Id="rId77" Type="http://schemas.openxmlformats.org/officeDocument/2006/relationships/hyperlink" Target="https://www.britannica.com/place/Iceland" TargetMode="External"/><Relationship Id="rId100" Type="http://schemas.openxmlformats.org/officeDocument/2006/relationships/hyperlink" Target="https://www.britannica.com/place/Liberia" TargetMode="External"/><Relationship Id="rId105" Type="http://schemas.openxmlformats.org/officeDocument/2006/relationships/hyperlink" Target="https://www.britannica.com/place/Madagascar" TargetMode="External"/><Relationship Id="rId126" Type="http://schemas.openxmlformats.org/officeDocument/2006/relationships/hyperlink" Target="https://www.britannica.com/place/Netherlands" TargetMode="External"/><Relationship Id="rId147" Type="http://schemas.openxmlformats.org/officeDocument/2006/relationships/hyperlink" Target="https://www.britannica.com/place/Saint-Kitts-and-Nevis" TargetMode="External"/><Relationship Id="rId168" Type="http://schemas.openxmlformats.org/officeDocument/2006/relationships/hyperlink" Target="https://www.britannica.com/place/Suriname" TargetMode="External"/><Relationship Id="rId8" Type="http://schemas.openxmlformats.org/officeDocument/2006/relationships/hyperlink" Target="https://www.britannica.com/place/Armenia" TargetMode="External"/><Relationship Id="rId51" Type="http://schemas.openxmlformats.org/officeDocument/2006/relationships/hyperlink" Target="https://www.britannica.com/place/East-Timor" TargetMode="External"/><Relationship Id="rId72" Type="http://schemas.openxmlformats.org/officeDocument/2006/relationships/hyperlink" Target="https://www.britannica.com/place/Guinea-Bissau" TargetMode="External"/><Relationship Id="rId93" Type="http://schemas.openxmlformats.org/officeDocument/2006/relationships/hyperlink" Target="https://www.britannica.com/place/Kosovo" TargetMode="External"/><Relationship Id="rId98" Type="http://schemas.openxmlformats.org/officeDocument/2006/relationships/hyperlink" Target="https://www.britannica.com/place/Lebanon" TargetMode="External"/><Relationship Id="rId121" Type="http://schemas.openxmlformats.org/officeDocument/2006/relationships/hyperlink" Target="https://www.britannica.com/place/Mozambique" TargetMode="External"/><Relationship Id="rId142" Type="http://schemas.openxmlformats.org/officeDocument/2006/relationships/hyperlink" Target="https://www.britannica.com/place/Portugal" TargetMode="External"/><Relationship Id="rId163" Type="http://schemas.openxmlformats.org/officeDocument/2006/relationships/hyperlink" Target="https://www.britannica.com/place/South-Africa" TargetMode="External"/><Relationship Id="rId184" Type="http://schemas.openxmlformats.org/officeDocument/2006/relationships/hyperlink" Target="https://www.britannica.com/place/Ukraine" TargetMode="External"/><Relationship Id="rId189" Type="http://schemas.openxmlformats.org/officeDocument/2006/relationships/hyperlink" Target="https://www.britannica.com/place/Uzbekistan" TargetMode="External"/><Relationship Id="rId3" Type="http://schemas.openxmlformats.org/officeDocument/2006/relationships/hyperlink" Target="https://www.britannica.com/place/Algeria" TargetMode="External"/><Relationship Id="rId25" Type="http://schemas.openxmlformats.org/officeDocument/2006/relationships/hyperlink" Target="https://www.britannica.com/place/Brunei" TargetMode="External"/><Relationship Id="rId46" Type="http://schemas.openxmlformats.org/officeDocument/2006/relationships/hyperlink" Target="https://www.britannica.com/place/Czech-Republic" TargetMode="External"/><Relationship Id="rId67" Type="http://schemas.openxmlformats.org/officeDocument/2006/relationships/hyperlink" Target="https://www.britannica.com/place/Ghana" TargetMode="External"/><Relationship Id="rId116" Type="http://schemas.openxmlformats.org/officeDocument/2006/relationships/hyperlink" Target="https://www.britannica.com/place/Moldova" TargetMode="External"/><Relationship Id="rId137" Type="http://schemas.openxmlformats.org/officeDocument/2006/relationships/hyperlink" Target="https://www.britannica.com/place/Papua-New-Guinea" TargetMode="External"/><Relationship Id="rId158" Type="http://schemas.openxmlformats.org/officeDocument/2006/relationships/hyperlink" Target="https://www.britannica.com/place/Singapore" TargetMode="External"/><Relationship Id="rId20" Type="http://schemas.openxmlformats.org/officeDocument/2006/relationships/hyperlink" Target="https://www.britannica.com/place/Bhutan" TargetMode="External"/><Relationship Id="rId41" Type="http://schemas.openxmlformats.org/officeDocument/2006/relationships/hyperlink" Target="https://www.britannica.com/place/Costa-Rica" TargetMode="External"/><Relationship Id="rId62" Type="http://schemas.openxmlformats.org/officeDocument/2006/relationships/hyperlink" Target="https://www.britannica.com/place/France" TargetMode="External"/><Relationship Id="rId83" Type="http://schemas.openxmlformats.org/officeDocument/2006/relationships/hyperlink" Target="https://www.britannica.com/place/Israel" TargetMode="External"/><Relationship Id="rId88" Type="http://schemas.openxmlformats.org/officeDocument/2006/relationships/hyperlink" Target="https://www.britannica.com/place/Kazakhstan" TargetMode="External"/><Relationship Id="rId111" Type="http://schemas.openxmlformats.org/officeDocument/2006/relationships/hyperlink" Target="https://www.britannica.com/place/Marshall-Islands" TargetMode="External"/><Relationship Id="rId132" Type="http://schemas.openxmlformats.org/officeDocument/2006/relationships/hyperlink" Target="https://www.britannica.com/place/Norway" TargetMode="External"/><Relationship Id="rId153" Type="http://schemas.openxmlformats.org/officeDocument/2006/relationships/hyperlink" Target="https://www.britannica.com/place/Saudi-Arabia" TargetMode="External"/><Relationship Id="rId174" Type="http://schemas.openxmlformats.org/officeDocument/2006/relationships/hyperlink" Target="https://www.britannica.com/place/Tanzania" TargetMode="External"/><Relationship Id="rId179" Type="http://schemas.openxmlformats.org/officeDocument/2006/relationships/hyperlink" Target="https://www.britannica.com/place/Tunisia" TargetMode="External"/><Relationship Id="rId195" Type="http://schemas.openxmlformats.org/officeDocument/2006/relationships/hyperlink" Target="https://www.britannica.com/place/Zambia" TargetMode="External"/><Relationship Id="rId190" Type="http://schemas.openxmlformats.org/officeDocument/2006/relationships/hyperlink" Target="https://www.britannica.com/place/Vanuatu" TargetMode="External"/><Relationship Id="rId15" Type="http://schemas.openxmlformats.org/officeDocument/2006/relationships/hyperlink" Target="https://www.britannica.com/place/Barbados" TargetMode="External"/><Relationship Id="rId36" Type="http://schemas.openxmlformats.org/officeDocument/2006/relationships/hyperlink" Target="https://www.britannica.com/place/China" TargetMode="External"/><Relationship Id="rId57" Type="http://schemas.openxmlformats.org/officeDocument/2006/relationships/hyperlink" Target="https://www.britannica.com/place/Estonia" TargetMode="External"/><Relationship Id="rId106" Type="http://schemas.openxmlformats.org/officeDocument/2006/relationships/hyperlink" Target="https://www.britannica.com/place/Malawi" TargetMode="External"/><Relationship Id="rId127" Type="http://schemas.openxmlformats.org/officeDocument/2006/relationships/hyperlink" Target="https://www.britannica.com/place/New-Zealand" TargetMode="External"/><Relationship Id="rId10" Type="http://schemas.openxmlformats.org/officeDocument/2006/relationships/hyperlink" Target="https://www.britannica.com/place/Austria" TargetMode="External"/><Relationship Id="rId31" Type="http://schemas.openxmlformats.org/officeDocument/2006/relationships/hyperlink" Target="https://www.britannica.com/place/Cameroon" TargetMode="External"/><Relationship Id="rId52" Type="http://schemas.openxmlformats.org/officeDocument/2006/relationships/hyperlink" Target="https://www.britannica.com/place/Ecuador" TargetMode="External"/><Relationship Id="rId73" Type="http://schemas.openxmlformats.org/officeDocument/2006/relationships/hyperlink" Target="https://www.britannica.com/place/Guyana" TargetMode="External"/><Relationship Id="rId78" Type="http://schemas.openxmlformats.org/officeDocument/2006/relationships/hyperlink" Target="https://www.britannica.com/place/India" TargetMode="External"/><Relationship Id="rId94" Type="http://schemas.openxmlformats.org/officeDocument/2006/relationships/hyperlink" Target="https://www.britannica.com/place/Kuwait" TargetMode="External"/><Relationship Id="rId99" Type="http://schemas.openxmlformats.org/officeDocument/2006/relationships/hyperlink" Target="https://www.britannica.com/place/Lesotho" TargetMode="External"/><Relationship Id="rId101" Type="http://schemas.openxmlformats.org/officeDocument/2006/relationships/hyperlink" Target="https://www.britannica.com/place/Libya" TargetMode="External"/><Relationship Id="rId122" Type="http://schemas.openxmlformats.org/officeDocument/2006/relationships/hyperlink" Target="https://www.britannica.com/place/Myanmar" TargetMode="External"/><Relationship Id="rId143" Type="http://schemas.openxmlformats.org/officeDocument/2006/relationships/hyperlink" Target="https://www.britannica.com/place/Qatar" TargetMode="External"/><Relationship Id="rId148" Type="http://schemas.openxmlformats.org/officeDocument/2006/relationships/hyperlink" Target="https://www.britannica.com/place/Saint-Lucia" TargetMode="External"/><Relationship Id="rId164" Type="http://schemas.openxmlformats.org/officeDocument/2006/relationships/hyperlink" Target="https://www.britannica.com/place/Spain" TargetMode="External"/><Relationship Id="rId169" Type="http://schemas.openxmlformats.org/officeDocument/2006/relationships/hyperlink" Target="https://www.britannica.com/place/Sweden" TargetMode="External"/><Relationship Id="rId185" Type="http://schemas.openxmlformats.org/officeDocument/2006/relationships/hyperlink" Target="https://www.britannica.com/place/United-Arab-Emirates" TargetMode="External"/><Relationship Id="rId4" Type="http://schemas.openxmlformats.org/officeDocument/2006/relationships/hyperlink" Target="https://www.britannica.com/place/Andorra" TargetMode="External"/><Relationship Id="rId9" Type="http://schemas.openxmlformats.org/officeDocument/2006/relationships/hyperlink" Target="https://www.britannica.com/place/Australia" TargetMode="External"/><Relationship Id="rId180" Type="http://schemas.openxmlformats.org/officeDocument/2006/relationships/hyperlink" Target="https://www.britannica.com/place/Turkey" TargetMode="External"/><Relationship Id="rId26" Type="http://schemas.openxmlformats.org/officeDocument/2006/relationships/hyperlink" Target="https://www.britannica.com/place/Bulgaria" TargetMode="External"/><Relationship Id="rId47" Type="http://schemas.openxmlformats.org/officeDocument/2006/relationships/hyperlink" Target="https://www.britannica.com/place/Denmark" TargetMode="External"/><Relationship Id="rId68" Type="http://schemas.openxmlformats.org/officeDocument/2006/relationships/hyperlink" Target="https://www.britannica.com/place/Greece" TargetMode="External"/><Relationship Id="rId89" Type="http://schemas.openxmlformats.org/officeDocument/2006/relationships/hyperlink" Target="https://www.britannica.com/place/Kenya" TargetMode="External"/><Relationship Id="rId112" Type="http://schemas.openxmlformats.org/officeDocument/2006/relationships/hyperlink" Target="https://www.britannica.com/place/Mauritania" TargetMode="External"/><Relationship Id="rId133" Type="http://schemas.openxmlformats.org/officeDocument/2006/relationships/hyperlink" Target="https://www.britannica.com/place/Oman" TargetMode="External"/><Relationship Id="rId154" Type="http://schemas.openxmlformats.org/officeDocument/2006/relationships/hyperlink" Target="https://www.britannica.com/place/Senegal" TargetMode="External"/><Relationship Id="rId175" Type="http://schemas.openxmlformats.org/officeDocument/2006/relationships/hyperlink" Target="https://www.britannica.com/place/Thailand" TargetMode="External"/><Relationship Id="rId196" Type="http://schemas.openxmlformats.org/officeDocument/2006/relationships/hyperlink" Target="https://www.britannica.com/place/Zimbabwe" TargetMode="External"/><Relationship Id="rId16" Type="http://schemas.openxmlformats.org/officeDocument/2006/relationships/hyperlink" Target="https://www.britannica.com/place/Belarus" TargetMode="External"/><Relationship Id="rId37" Type="http://schemas.openxmlformats.org/officeDocument/2006/relationships/hyperlink" Target="https://www.britannica.com/place/Colombia" TargetMode="External"/><Relationship Id="rId58" Type="http://schemas.openxmlformats.org/officeDocument/2006/relationships/hyperlink" Target="https://www.britannica.com/place/Eswatini" TargetMode="External"/><Relationship Id="rId79" Type="http://schemas.openxmlformats.org/officeDocument/2006/relationships/hyperlink" Target="https://www.britannica.com/place/Indonesia" TargetMode="External"/><Relationship Id="rId102" Type="http://schemas.openxmlformats.org/officeDocument/2006/relationships/hyperlink" Target="https://www.britannica.com/place/Liechtenstein" TargetMode="External"/><Relationship Id="rId123" Type="http://schemas.openxmlformats.org/officeDocument/2006/relationships/hyperlink" Target="https://www.britannica.com/place/Namibia" TargetMode="External"/><Relationship Id="rId144" Type="http://schemas.openxmlformats.org/officeDocument/2006/relationships/hyperlink" Target="https://www.britannica.com/place/Romania" TargetMode="External"/><Relationship Id="rId90" Type="http://schemas.openxmlformats.org/officeDocument/2006/relationships/hyperlink" Target="https://www.britannica.com/place/Kiribati" TargetMode="External"/><Relationship Id="rId165" Type="http://schemas.openxmlformats.org/officeDocument/2006/relationships/hyperlink" Target="https://www.britannica.com/place/Sri-Lanka" TargetMode="External"/><Relationship Id="rId186" Type="http://schemas.openxmlformats.org/officeDocument/2006/relationships/hyperlink" Target="https://www.britannica.com/place/United-Kingdom" TargetMode="External"/><Relationship Id="rId27" Type="http://schemas.openxmlformats.org/officeDocument/2006/relationships/hyperlink" Target="https://www.britannica.com/place/Burkina-Faso" TargetMode="External"/><Relationship Id="rId48" Type="http://schemas.openxmlformats.org/officeDocument/2006/relationships/hyperlink" Target="https://www.britannica.com/place/Djibouti" TargetMode="External"/><Relationship Id="rId69" Type="http://schemas.openxmlformats.org/officeDocument/2006/relationships/hyperlink" Target="https://www.britannica.com/place/Grenada" TargetMode="External"/><Relationship Id="rId113" Type="http://schemas.openxmlformats.org/officeDocument/2006/relationships/hyperlink" Target="https://www.britannica.com/place/Mauritius" TargetMode="External"/><Relationship Id="rId134" Type="http://schemas.openxmlformats.org/officeDocument/2006/relationships/hyperlink" Target="https://www.britannica.com/place/Pakistan" TargetMode="External"/><Relationship Id="rId80" Type="http://schemas.openxmlformats.org/officeDocument/2006/relationships/hyperlink" Target="https://www.britannica.com/place/Iran" TargetMode="External"/><Relationship Id="rId155" Type="http://schemas.openxmlformats.org/officeDocument/2006/relationships/hyperlink" Target="https://www.britannica.com/place/Serbia" TargetMode="External"/><Relationship Id="rId176" Type="http://schemas.openxmlformats.org/officeDocument/2006/relationships/hyperlink" Target="https://www.britannica.com/place/Togo" TargetMode="External"/><Relationship Id="rId197" Type="http://schemas.openxmlformats.org/officeDocument/2006/relationships/table" Target="../tables/table1.xml"/><Relationship Id="rId17" Type="http://schemas.openxmlformats.org/officeDocument/2006/relationships/hyperlink" Target="https://www.britannica.com/place/Belgium" TargetMode="External"/><Relationship Id="rId38" Type="http://schemas.openxmlformats.org/officeDocument/2006/relationships/hyperlink" Target="https://www.britannica.com/place/Comoros" TargetMode="External"/><Relationship Id="rId59" Type="http://schemas.openxmlformats.org/officeDocument/2006/relationships/hyperlink" Target="https://www.britannica.com/place/Ethiopia" TargetMode="External"/><Relationship Id="rId103" Type="http://schemas.openxmlformats.org/officeDocument/2006/relationships/hyperlink" Target="https://www.britannica.com/place/Lithuania" TargetMode="External"/><Relationship Id="rId124" Type="http://schemas.openxmlformats.org/officeDocument/2006/relationships/hyperlink" Target="https://www.britannica.com/place/Nauru" TargetMode="External"/><Relationship Id="rId70" Type="http://schemas.openxmlformats.org/officeDocument/2006/relationships/hyperlink" Target="https://www.britannica.com/place/Guatemala" TargetMode="External"/><Relationship Id="rId91" Type="http://schemas.openxmlformats.org/officeDocument/2006/relationships/hyperlink" Target="https://www.britannica.com/place/North-Korea" TargetMode="External"/><Relationship Id="rId145" Type="http://schemas.openxmlformats.org/officeDocument/2006/relationships/hyperlink" Target="https://www.britannica.com/place/Russia" TargetMode="External"/><Relationship Id="rId166" Type="http://schemas.openxmlformats.org/officeDocument/2006/relationships/hyperlink" Target="https://www.britannica.com/place/Sudan" TargetMode="External"/><Relationship Id="rId187" Type="http://schemas.openxmlformats.org/officeDocument/2006/relationships/hyperlink" Target="https://www.britannica.com/place/United-States" TargetMode="External"/><Relationship Id="rId1" Type="http://schemas.openxmlformats.org/officeDocument/2006/relationships/hyperlink" Target="https://www.britannica.com/place/Afghanistan" TargetMode="External"/><Relationship Id="rId28" Type="http://schemas.openxmlformats.org/officeDocument/2006/relationships/hyperlink" Target="https://www.britannica.com/place/Burundi" TargetMode="External"/><Relationship Id="rId49" Type="http://schemas.openxmlformats.org/officeDocument/2006/relationships/hyperlink" Target="https://www.britannica.com/place/Dominica" TargetMode="External"/><Relationship Id="rId114" Type="http://schemas.openxmlformats.org/officeDocument/2006/relationships/hyperlink" Target="https://www.britannica.com/place/Mexico" TargetMode="External"/><Relationship Id="rId60" Type="http://schemas.openxmlformats.org/officeDocument/2006/relationships/hyperlink" Target="https://www.britannica.com/place/Fiji-republic-Pacific-Ocean" TargetMode="External"/><Relationship Id="rId81" Type="http://schemas.openxmlformats.org/officeDocument/2006/relationships/hyperlink" Target="https://www.britannica.com/place/Iraq" TargetMode="External"/><Relationship Id="rId135" Type="http://schemas.openxmlformats.org/officeDocument/2006/relationships/hyperlink" Target="https://www.britannica.com/place/Palau" TargetMode="External"/><Relationship Id="rId156" Type="http://schemas.openxmlformats.org/officeDocument/2006/relationships/hyperlink" Target="https://www.britannica.com/place/Seychelles" TargetMode="External"/><Relationship Id="rId177" Type="http://schemas.openxmlformats.org/officeDocument/2006/relationships/hyperlink" Target="https://www.britannica.com/place/Tonga" TargetMode="External"/><Relationship Id="rId18" Type="http://schemas.openxmlformats.org/officeDocument/2006/relationships/hyperlink" Target="https://www.britannica.com/place/Belize" TargetMode="External"/><Relationship Id="rId39" Type="http://schemas.openxmlformats.org/officeDocument/2006/relationships/hyperlink" Target="https://www.britannica.com/place/Democratic-Republic-of-the-Congo" TargetMode="External"/><Relationship Id="rId50" Type="http://schemas.openxmlformats.org/officeDocument/2006/relationships/hyperlink" Target="https://www.britannica.com/place/Dominican-Republic" TargetMode="External"/><Relationship Id="rId104" Type="http://schemas.openxmlformats.org/officeDocument/2006/relationships/hyperlink" Target="https://www.britannica.com/place/Luxembourg" TargetMode="External"/><Relationship Id="rId125" Type="http://schemas.openxmlformats.org/officeDocument/2006/relationships/hyperlink" Target="https://www.britannica.com/place/Nepal" TargetMode="External"/><Relationship Id="rId146" Type="http://schemas.openxmlformats.org/officeDocument/2006/relationships/hyperlink" Target="https://www.britannica.com/place/Rwanda" TargetMode="External"/><Relationship Id="rId167" Type="http://schemas.openxmlformats.org/officeDocument/2006/relationships/hyperlink" Target="https://www.britannica.com/place/South-Sudan" TargetMode="External"/><Relationship Id="rId188" Type="http://schemas.openxmlformats.org/officeDocument/2006/relationships/hyperlink" Target="https://www.britannica.com/place/Urugua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31C8-BB51-445B-81B7-55CA35200EBE}">
  <sheetPr codeName="Sheet4"/>
  <dimension ref="C2:I5"/>
  <sheetViews>
    <sheetView showGridLines="0" zoomScale="87" workbookViewId="0">
      <selection activeCell="B4" sqref="B4"/>
    </sheetView>
  </sheetViews>
  <sheetFormatPr defaultRowHeight="14.5" x14ac:dyDescent="0.35"/>
  <cols>
    <col min="3" max="3" width="83" customWidth="1"/>
  </cols>
  <sheetData>
    <row r="2" spans="3:9" ht="15" thickBot="1" x14ac:dyDescent="0.4"/>
    <row r="3" spans="3:9" ht="40.5" thickTop="1" thickBot="1" x14ac:dyDescent="0.95">
      <c r="C3" s="13" t="s">
        <v>234</v>
      </c>
    </row>
    <row r="4" spans="3:9" ht="349" thickTop="1" thickBot="1" x14ac:dyDescent="0.4">
      <c r="C4" s="12" t="s">
        <v>238</v>
      </c>
      <c r="I4" t="s">
        <v>235</v>
      </c>
    </row>
    <row r="5" spans="3:9" ht="15" thickTop="1" x14ac:dyDescent="0.35"/>
  </sheetData>
  <sheetProtection algorithmName="SHA-512" hashValue="HMCyKOM9P7hZt+SXQTtHK7N0lwehQXQ1HVOi4VwFSz4sVihjBXtEmY7UlBL2dl/88bOTMM+8hjp3pMQnrWqpVw==" saltValue="Cy0qcUnk+TudKjkdtq1Qy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C5557-7DF1-403D-B446-DAFC0E0357B2}">
  <sheetPr codeName="Sheet2"/>
  <dimension ref="B1:F100"/>
  <sheetViews>
    <sheetView showGridLines="0" tabSelected="1" zoomScale="90" zoomScaleNormal="86" workbookViewId="0">
      <selection activeCell="C12" sqref="C12"/>
    </sheetView>
  </sheetViews>
  <sheetFormatPr defaultRowHeight="14.5" x14ac:dyDescent="0.35"/>
  <cols>
    <col min="2" max="2" width="38.1796875" bestFit="1" customWidth="1"/>
    <col min="3" max="3" width="34.81640625" customWidth="1"/>
    <col min="5" max="5" width="8.7265625" hidden="1" customWidth="1"/>
  </cols>
  <sheetData>
    <row r="1" spans="2:6" ht="15" thickBot="1" x14ac:dyDescent="0.4">
      <c r="E1" s="11" t="str" cm="1">
        <f t="array" aca="1" ref="E1" ca="1">INDEX(_xlfn.UNIQUE(First_letter), RANDBETWEEN(1, COUNTA(_xlfn.UNIQUE(First_letter))))</f>
        <v>K</v>
      </c>
      <c r="F1" s="10"/>
    </row>
    <row r="2" spans="2:6" x14ac:dyDescent="0.35">
      <c r="B2" s="5" t="s">
        <v>229</v>
      </c>
      <c r="C2" s="6" cm="1">
        <f t="array" ref="C2">COUNTA(_xlfn.UNIQUE(_xlfn._xlws.FILTER(Countries, (First_letter=Target_letter)*(Countries&lt;&gt;""))))</f>
        <v>4</v>
      </c>
    </row>
    <row r="3" spans="2:6" ht="15" thickBot="1" x14ac:dyDescent="0.4">
      <c r="B3" s="8" t="s">
        <v>230</v>
      </c>
      <c r="C3" s="9" cm="1">
        <f t="array" ref="C3">_xlfn.LET(
  _xlpm.g, _xlfn.UNIQUE(_xlfn._xlws.FILTER(C7:C100, (C7:C100&lt;&gt;"") * ISTEXT(C7:C100))),
  _xlpm.c, _xlfn._xlws.FILTER(Countries, First_letter=Target_letter),
  IFERROR(ROWS(_xlfn._xlws.FILTER(_xlpm.g, ISNUMBER(MATCH(_xlpm.g, _xlpm.c, 0)))), 0)
)</f>
        <v>4</v>
      </c>
    </row>
    <row r="4" spans="2:6" ht="15" thickBot="1" x14ac:dyDescent="0.4">
      <c r="B4" s="4" t="s">
        <v>228</v>
      </c>
      <c r="C4" s="7">
        <f>IF(Percentage_completed=0, 0, Correct_guesses/Percentage_completed)</f>
        <v>1</v>
      </c>
    </row>
    <row r="5" spans="2:6" ht="15" thickBot="1" x14ac:dyDescent="0.4"/>
    <row r="6" spans="2:6" ht="15.5" thickTop="1" thickBot="1" x14ac:dyDescent="0.4">
      <c r="B6" s="14" t="s">
        <v>227</v>
      </c>
      <c r="C6" s="15" t="s">
        <v>209</v>
      </c>
    </row>
    <row r="7" spans="2:6" ht="15" thickTop="1" x14ac:dyDescent="0.35">
      <c r="C7" s="22" t="s">
        <v>213</v>
      </c>
    </row>
    <row r="8" spans="2:6" x14ac:dyDescent="0.35">
      <c r="C8" s="22" t="s">
        <v>212</v>
      </c>
    </row>
    <row r="9" spans="2:6" x14ac:dyDescent="0.35">
      <c r="C9" s="22" t="s">
        <v>210</v>
      </c>
    </row>
    <row r="10" spans="2:6" x14ac:dyDescent="0.35">
      <c r="C10" s="22" t="s">
        <v>239</v>
      </c>
    </row>
    <row r="11" spans="2:6" x14ac:dyDescent="0.35">
      <c r="C11" s="22" t="s">
        <v>240</v>
      </c>
    </row>
    <row r="12" spans="2:6" x14ac:dyDescent="0.35">
      <c r="C12" s="22"/>
    </row>
    <row r="13" spans="2:6" x14ac:dyDescent="0.35">
      <c r="C13" s="22"/>
    </row>
    <row r="14" spans="2:6" x14ac:dyDescent="0.35">
      <c r="C14" s="22"/>
    </row>
    <row r="15" spans="2:6" x14ac:dyDescent="0.35">
      <c r="C15" s="22"/>
    </row>
    <row r="16" spans="2:6" x14ac:dyDescent="0.35">
      <c r="C16" s="22"/>
    </row>
    <row r="17" spans="3:3" x14ac:dyDescent="0.35">
      <c r="C17" s="22"/>
    </row>
    <row r="18" spans="3:3" x14ac:dyDescent="0.35">
      <c r="C18" s="22"/>
    </row>
    <row r="19" spans="3:3" x14ac:dyDescent="0.35">
      <c r="C19" s="22"/>
    </row>
    <row r="20" spans="3:3" x14ac:dyDescent="0.35">
      <c r="C20" s="22"/>
    </row>
    <row r="21" spans="3:3" x14ac:dyDescent="0.35">
      <c r="C21" s="22"/>
    </row>
    <row r="22" spans="3:3" x14ac:dyDescent="0.35">
      <c r="C22" s="22"/>
    </row>
    <row r="23" spans="3:3" x14ac:dyDescent="0.35">
      <c r="C23" s="22"/>
    </row>
    <row r="24" spans="3:3" x14ac:dyDescent="0.35">
      <c r="C24" s="22"/>
    </row>
    <row r="25" spans="3:3" x14ac:dyDescent="0.35">
      <c r="C25" s="22"/>
    </row>
    <row r="26" spans="3:3" x14ac:dyDescent="0.35">
      <c r="C26" s="22"/>
    </row>
    <row r="27" spans="3:3" x14ac:dyDescent="0.35">
      <c r="C27" s="22"/>
    </row>
    <row r="28" spans="3:3" x14ac:dyDescent="0.35">
      <c r="C28" s="22"/>
    </row>
    <row r="29" spans="3:3" x14ac:dyDescent="0.35">
      <c r="C29" s="22"/>
    </row>
    <row r="30" spans="3:3" x14ac:dyDescent="0.35">
      <c r="C30" s="22"/>
    </row>
    <row r="31" spans="3:3" x14ac:dyDescent="0.35">
      <c r="C31" s="22"/>
    </row>
    <row r="32" spans="3:3" x14ac:dyDescent="0.35">
      <c r="C32" s="22"/>
    </row>
    <row r="33" spans="3:3" x14ac:dyDescent="0.35">
      <c r="C33" s="22"/>
    </row>
    <row r="34" spans="3:3" x14ac:dyDescent="0.35">
      <c r="C34" s="22"/>
    </row>
    <row r="35" spans="3:3" x14ac:dyDescent="0.35">
      <c r="C35" s="22"/>
    </row>
    <row r="36" spans="3:3" x14ac:dyDescent="0.35">
      <c r="C36" s="22"/>
    </row>
    <row r="37" spans="3:3" x14ac:dyDescent="0.35">
      <c r="C37" s="22"/>
    </row>
    <row r="38" spans="3:3" x14ac:dyDescent="0.35">
      <c r="C38" s="22"/>
    </row>
    <row r="39" spans="3:3" x14ac:dyDescent="0.35">
      <c r="C39" s="22"/>
    </row>
    <row r="40" spans="3:3" x14ac:dyDescent="0.35">
      <c r="C40" s="22"/>
    </row>
    <row r="41" spans="3:3" x14ac:dyDescent="0.35">
      <c r="C41" s="22"/>
    </row>
    <row r="42" spans="3:3" x14ac:dyDescent="0.35">
      <c r="C42" s="22"/>
    </row>
    <row r="43" spans="3:3" x14ac:dyDescent="0.35">
      <c r="C43" s="22"/>
    </row>
    <row r="44" spans="3:3" x14ac:dyDescent="0.35">
      <c r="C44" s="22"/>
    </row>
    <row r="45" spans="3:3" x14ac:dyDescent="0.35">
      <c r="C45" s="22"/>
    </row>
    <row r="46" spans="3:3" x14ac:dyDescent="0.35">
      <c r="C46" s="22"/>
    </row>
    <row r="47" spans="3:3" x14ac:dyDescent="0.35">
      <c r="C47" s="22"/>
    </row>
    <row r="48" spans="3:3" x14ac:dyDescent="0.35">
      <c r="C48" s="22"/>
    </row>
    <row r="49" spans="3:3" x14ac:dyDescent="0.35">
      <c r="C49" s="22"/>
    </row>
    <row r="50" spans="3:3" x14ac:dyDescent="0.35">
      <c r="C50" s="22"/>
    </row>
    <row r="51" spans="3:3" x14ac:dyDescent="0.35">
      <c r="C51" s="22"/>
    </row>
    <row r="52" spans="3:3" x14ac:dyDescent="0.35">
      <c r="C52" s="22"/>
    </row>
    <row r="53" spans="3:3" x14ac:dyDescent="0.35">
      <c r="C53" s="22"/>
    </row>
    <row r="54" spans="3:3" x14ac:dyDescent="0.35">
      <c r="C54" s="22"/>
    </row>
    <row r="55" spans="3:3" x14ac:dyDescent="0.35">
      <c r="C55" s="22"/>
    </row>
    <row r="56" spans="3:3" x14ac:dyDescent="0.35">
      <c r="C56" s="22"/>
    </row>
    <row r="57" spans="3:3" x14ac:dyDescent="0.35">
      <c r="C57" s="22"/>
    </row>
    <row r="58" spans="3:3" x14ac:dyDescent="0.35">
      <c r="C58" s="22"/>
    </row>
    <row r="59" spans="3:3" x14ac:dyDescent="0.35">
      <c r="C59" s="22"/>
    </row>
    <row r="60" spans="3:3" x14ac:dyDescent="0.35">
      <c r="C60" s="22"/>
    </row>
    <row r="61" spans="3:3" x14ac:dyDescent="0.35">
      <c r="C61" s="22"/>
    </row>
    <row r="62" spans="3:3" x14ac:dyDescent="0.35">
      <c r="C62" s="22"/>
    </row>
    <row r="63" spans="3:3" x14ac:dyDescent="0.35">
      <c r="C63" s="22"/>
    </row>
    <row r="64" spans="3:3" x14ac:dyDescent="0.35">
      <c r="C64" s="22"/>
    </row>
    <row r="65" spans="3:3" x14ac:dyDescent="0.35">
      <c r="C65" s="22"/>
    </row>
    <row r="66" spans="3:3" x14ac:dyDescent="0.35">
      <c r="C66" s="22"/>
    </row>
    <row r="67" spans="3:3" x14ac:dyDescent="0.35">
      <c r="C67" s="22"/>
    </row>
    <row r="68" spans="3:3" x14ac:dyDescent="0.35">
      <c r="C68" s="22"/>
    </row>
    <row r="69" spans="3:3" x14ac:dyDescent="0.35">
      <c r="C69" s="22"/>
    </row>
    <row r="70" spans="3:3" x14ac:dyDescent="0.35">
      <c r="C70" s="22"/>
    </row>
    <row r="71" spans="3:3" x14ac:dyDescent="0.35">
      <c r="C71" s="22"/>
    </row>
    <row r="72" spans="3:3" x14ac:dyDescent="0.35">
      <c r="C72" s="22"/>
    </row>
    <row r="73" spans="3:3" x14ac:dyDescent="0.35">
      <c r="C73" s="22"/>
    </row>
    <row r="74" spans="3:3" x14ac:dyDescent="0.35">
      <c r="C74" s="22"/>
    </row>
    <row r="75" spans="3:3" x14ac:dyDescent="0.35">
      <c r="C75" s="22"/>
    </row>
    <row r="76" spans="3:3" x14ac:dyDescent="0.35">
      <c r="C76" s="22"/>
    </row>
    <row r="77" spans="3:3" x14ac:dyDescent="0.35">
      <c r="C77" s="22"/>
    </row>
    <row r="78" spans="3:3" x14ac:dyDescent="0.35">
      <c r="C78" s="22"/>
    </row>
    <row r="79" spans="3:3" x14ac:dyDescent="0.35">
      <c r="C79" s="22"/>
    </row>
    <row r="80" spans="3:3" x14ac:dyDescent="0.35">
      <c r="C80" s="22"/>
    </row>
    <row r="81" spans="3:3" x14ac:dyDescent="0.35">
      <c r="C81" s="22"/>
    </row>
    <row r="82" spans="3:3" x14ac:dyDescent="0.35">
      <c r="C82" s="22"/>
    </row>
    <row r="83" spans="3:3" x14ac:dyDescent="0.35">
      <c r="C83" s="22"/>
    </row>
    <row r="84" spans="3:3" x14ac:dyDescent="0.35">
      <c r="C84" s="22"/>
    </row>
    <row r="85" spans="3:3" x14ac:dyDescent="0.35">
      <c r="C85" s="22"/>
    </row>
    <row r="86" spans="3:3" x14ac:dyDescent="0.35">
      <c r="C86" s="22"/>
    </row>
    <row r="87" spans="3:3" x14ac:dyDescent="0.35">
      <c r="C87" s="22"/>
    </row>
    <row r="88" spans="3:3" x14ac:dyDescent="0.35">
      <c r="C88" s="22"/>
    </row>
    <row r="89" spans="3:3" x14ac:dyDescent="0.35">
      <c r="C89" s="22"/>
    </row>
    <row r="90" spans="3:3" x14ac:dyDescent="0.35">
      <c r="C90" s="22"/>
    </row>
    <row r="91" spans="3:3" x14ac:dyDescent="0.35">
      <c r="C91" s="22"/>
    </row>
    <row r="92" spans="3:3" x14ac:dyDescent="0.35">
      <c r="C92" s="22"/>
    </row>
    <row r="93" spans="3:3" x14ac:dyDescent="0.35">
      <c r="C93" s="22"/>
    </row>
    <row r="94" spans="3:3" x14ac:dyDescent="0.35">
      <c r="C94" s="22"/>
    </row>
    <row r="95" spans="3:3" x14ac:dyDescent="0.35">
      <c r="C95" s="22"/>
    </row>
    <row r="96" spans="3:3" x14ac:dyDescent="0.35">
      <c r="C96" s="22"/>
    </row>
    <row r="97" spans="3:3" x14ac:dyDescent="0.35">
      <c r="C97" s="22"/>
    </row>
    <row r="98" spans="3:3" x14ac:dyDescent="0.35">
      <c r="C98" s="22"/>
    </row>
    <row r="99" spans="3:3" x14ac:dyDescent="0.35">
      <c r="C99" s="22"/>
    </row>
    <row r="100" spans="3:3" x14ac:dyDescent="0.35">
      <c r="C100" s="22"/>
    </row>
  </sheetData>
  <sheetProtection selectLockedCells="1" sort="0"/>
  <conditionalFormatting sqref="C7:C100">
    <cfRule type="expression" dxfId="2" priority="2">
      <formula>AND(C7&lt;&gt;"", COUNTIFS(Countries, C7, First_letter, Target_letter)=0)</formula>
    </cfRule>
    <cfRule type="expression" dxfId="1" priority="3">
      <formula>AND(C7&lt;&gt;"", COUNTIFS(Countries, C7, First_letter, Target_letter)&gt;0)</formula>
    </cfRule>
  </conditionalFormatting>
  <conditionalFormatting sqref="C4">
    <cfRule type="expression" dxfId="0" priority="1">
      <formula>100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locked="0" defaultSize="0" print="0" autoFill="0" autoPict="0" macro="[0]!GenerateRandomLetter">
                <anchor moveWithCells="1">
                  <from>
                    <xdr:col>3</xdr:col>
                    <xdr:colOff>215900</xdr:colOff>
                    <xdr:row>6</xdr:row>
                    <xdr:rowOff>69850</xdr:rowOff>
                  </from>
                  <to>
                    <xdr:col>7</xdr:col>
                    <xdr:colOff>495300</xdr:colOff>
                    <xdr:row>8</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11B83-98F5-447E-A8F2-FF9F7123AC2E}">
  <sheetPr codeName="Sheet1"/>
  <dimension ref="A1:G198"/>
  <sheetViews>
    <sheetView showGridLines="0" zoomScale="75" workbookViewId="0">
      <selection activeCell="B4" sqref="B4"/>
    </sheetView>
  </sheetViews>
  <sheetFormatPr defaultRowHeight="14.5" x14ac:dyDescent="0.35"/>
  <cols>
    <col min="1" max="1" width="30.26953125" bestFit="1" customWidth="1"/>
    <col min="2" max="2" width="11.6328125" hidden="1" customWidth="1"/>
    <col min="3" max="3" width="14.1796875" hidden="1" customWidth="1"/>
    <col min="4" max="4" width="29.08984375" bestFit="1" customWidth="1"/>
    <col min="6" max="6" width="29.90625" bestFit="1" customWidth="1"/>
    <col min="7" max="7" width="23" customWidth="1"/>
    <col min="8" max="8" width="8.7265625" customWidth="1"/>
  </cols>
  <sheetData>
    <row r="1" spans="1:7" x14ac:dyDescent="0.35">
      <c r="A1" s="2" t="s">
        <v>221</v>
      </c>
      <c r="B1" t="s">
        <v>223</v>
      </c>
      <c r="C1" t="s">
        <v>224</v>
      </c>
      <c r="D1" t="s">
        <v>220</v>
      </c>
    </row>
    <row r="2" spans="1:7" x14ac:dyDescent="0.35">
      <c r="A2" s="1" t="s">
        <v>0</v>
      </c>
      <c r="B2" t="s">
        <v>219</v>
      </c>
      <c r="C2" s="3" cm="1">
        <f t="array" ref="C2">COUNTIF(Countries, "A*")</f>
        <v>11</v>
      </c>
      <c r="D2" t="s">
        <v>0</v>
      </c>
    </row>
    <row r="3" spans="1:7" x14ac:dyDescent="0.35">
      <c r="A3" s="1" t="s">
        <v>1</v>
      </c>
      <c r="B3" t="s">
        <v>219</v>
      </c>
      <c r="D3" t="s">
        <v>1</v>
      </c>
    </row>
    <row r="4" spans="1:7" ht="15" thickBot="1" x14ac:dyDescent="0.4">
      <c r="A4" s="1" t="s">
        <v>2</v>
      </c>
      <c r="B4" t="s">
        <v>219</v>
      </c>
      <c r="D4" t="s">
        <v>2</v>
      </c>
    </row>
    <row r="5" spans="1:7" ht="15.5" thickTop="1" thickBot="1" x14ac:dyDescent="0.4">
      <c r="A5" s="1" t="s">
        <v>3</v>
      </c>
      <c r="B5" t="s">
        <v>219</v>
      </c>
      <c r="D5" t="s">
        <v>3</v>
      </c>
      <c r="F5" s="17" t="s">
        <v>232</v>
      </c>
      <c r="G5" s="16" t="str" cm="1">
        <f t="array" aca="1" ref="G5" ca="1">INDEX(_xlfn._xlws.FILTER(D2:D197, NOT(ISNUMBER(D2:D197))), RANDBETWEEN(1, COUNTA(_xlfn._xlws.FILTER(D2:D197, NOT(ISNUMBER(D2:D197)))))
)</f>
        <v>Dominican Republic</v>
      </c>
    </row>
    <row r="6" spans="1:7" ht="15.5" thickTop="1" thickBot="1" x14ac:dyDescent="0.4">
      <c r="A6" s="1" t="s">
        <v>4</v>
      </c>
      <c r="B6" t="s">
        <v>219</v>
      </c>
      <c r="D6" t="s">
        <v>4</v>
      </c>
    </row>
    <row r="7" spans="1:7" ht="15.5" thickTop="1" thickBot="1" x14ac:dyDescent="0.4">
      <c r="A7" s="1" t="s">
        <v>5</v>
      </c>
      <c r="B7" t="s">
        <v>219</v>
      </c>
      <c r="D7" t="s">
        <v>5</v>
      </c>
      <c r="G7" s="18" t="s">
        <v>233</v>
      </c>
    </row>
    <row r="8" spans="1:7" ht="15" thickTop="1" x14ac:dyDescent="0.35">
      <c r="A8" s="1" t="s">
        <v>6</v>
      </c>
      <c r="B8" t="s">
        <v>219</v>
      </c>
      <c r="D8" t="s">
        <v>6</v>
      </c>
    </row>
    <row r="9" spans="1:7" x14ac:dyDescent="0.35">
      <c r="A9" s="1" t="s">
        <v>7</v>
      </c>
      <c r="B9" t="s">
        <v>219</v>
      </c>
      <c r="D9" t="s">
        <v>7</v>
      </c>
    </row>
    <row r="10" spans="1:7" x14ac:dyDescent="0.35">
      <c r="A10" s="1" t="s">
        <v>8</v>
      </c>
      <c r="B10" t="s">
        <v>219</v>
      </c>
      <c r="D10" t="s">
        <v>8</v>
      </c>
    </row>
    <row r="11" spans="1:7" x14ac:dyDescent="0.35">
      <c r="A11" s="1" t="s">
        <v>9</v>
      </c>
      <c r="B11" t="s">
        <v>219</v>
      </c>
      <c r="D11" t="s">
        <v>9</v>
      </c>
    </row>
    <row r="12" spans="1:7" x14ac:dyDescent="0.35">
      <c r="A12" s="1" t="s">
        <v>10</v>
      </c>
      <c r="B12" t="s">
        <v>219</v>
      </c>
      <c r="D12" t="s">
        <v>10</v>
      </c>
    </row>
    <row r="13" spans="1:7" x14ac:dyDescent="0.35">
      <c r="A13" s="1" t="s">
        <v>12</v>
      </c>
      <c r="B13" t="s">
        <v>11</v>
      </c>
      <c r="C13" cm="1">
        <f t="array" ref="C13">COUNTIF(Countries, "B*")</f>
        <v>17</v>
      </c>
      <c r="D13" t="s">
        <v>225</v>
      </c>
    </row>
    <row r="14" spans="1:7" x14ac:dyDescent="0.35">
      <c r="A14" s="1" t="s">
        <v>13</v>
      </c>
      <c r="B14" t="s">
        <v>11</v>
      </c>
      <c r="D14" t="s">
        <v>13</v>
      </c>
    </row>
    <row r="15" spans="1:7" x14ac:dyDescent="0.35">
      <c r="A15" s="1" t="s">
        <v>14</v>
      </c>
      <c r="B15" t="s">
        <v>11</v>
      </c>
      <c r="D15" t="s">
        <v>14</v>
      </c>
    </row>
    <row r="16" spans="1:7" x14ac:dyDescent="0.35">
      <c r="A16" s="1" t="s">
        <v>15</v>
      </c>
      <c r="B16" t="s">
        <v>11</v>
      </c>
      <c r="D16" t="s">
        <v>15</v>
      </c>
    </row>
    <row r="17" spans="1:4" x14ac:dyDescent="0.35">
      <c r="A17" s="1" t="s">
        <v>16</v>
      </c>
      <c r="B17" t="s">
        <v>11</v>
      </c>
      <c r="D17" t="s">
        <v>16</v>
      </c>
    </row>
    <row r="18" spans="1:4" x14ac:dyDescent="0.35">
      <c r="A18" s="1" t="s">
        <v>17</v>
      </c>
      <c r="B18" t="s">
        <v>11</v>
      </c>
      <c r="D18" t="s">
        <v>17</v>
      </c>
    </row>
    <row r="19" spans="1:4" x14ac:dyDescent="0.35">
      <c r="A19" s="1" t="s">
        <v>18</v>
      </c>
      <c r="B19" t="s">
        <v>11</v>
      </c>
      <c r="D19" t="s">
        <v>18</v>
      </c>
    </row>
    <row r="20" spans="1:4" x14ac:dyDescent="0.35">
      <c r="A20" s="1" t="s">
        <v>19</v>
      </c>
      <c r="B20" t="s">
        <v>11</v>
      </c>
      <c r="D20" t="s">
        <v>19</v>
      </c>
    </row>
    <row r="21" spans="1:4" x14ac:dyDescent="0.35">
      <c r="A21" s="1" t="s">
        <v>20</v>
      </c>
      <c r="B21" t="s">
        <v>11</v>
      </c>
      <c r="D21" t="s">
        <v>20</v>
      </c>
    </row>
    <row r="22" spans="1:4" x14ac:dyDescent="0.35">
      <c r="A22" s="1" t="s">
        <v>21</v>
      </c>
      <c r="B22" t="s">
        <v>11</v>
      </c>
      <c r="D22" t="s">
        <v>21</v>
      </c>
    </row>
    <row r="23" spans="1:4" x14ac:dyDescent="0.35">
      <c r="A23" s="1" t="s">
        <v>22</v>
      </c>
      <c r="B23" t="s">
        <v>11</v>
      </c>
      <c r="D23" t="s">
        <v>22</v>
      </c>
    </row>
    <row r="24" spans="1:4" x14ac:dyDescent="0.35">
      <c r="A24" s="1" t="s">
        <v>23</v>
      </c>
      <c r="B24" t="s">
        <v>11</v>
      </c>
      <c r="D24" t="s">
        <v>23</v>
      </c>
    </row>
    <row r="25" spans="1:4" x14ac:dyDescent="0.35">
      <c r="A25" s="1" t="s">
        <v>24</v>
      </c>
      <c r="B25" t="s">
        <v>11</v>
      </c>
      <c r="D25" t="s">
        <v>24</v>
      </c>
    </row>
    <row r="26" spans="1:4" x14ac:dyDescent="0.35">
      <c r="A26" s="1" t="s">
        <v>25</v>
      </c>
      <c r="B26" t="s">
        <v>11</v>
      </c>
      <c r="D26" t="s">
        <v>25</v>
      </c>
    </row>
    <row r="27" spans="1:4" x14ac:dyDescent="0.35">
      <c r="A27" s="1" t="s">
        <v>26</v>
      </c>
      <c r="B27" t="s">
        <v>11</v>
      </c>
      <c r="D27" t="s">
        <v>26</v>
      </c>
    </row>
    <row r="28" spans="1:4" x14ac:dyDescent="0.35">
      <c r="A28" s="1" t="s">
        <v>27</v>
      </c>
      <c r="B28" t="s">
        <v>11</v>
      </c>
      <c r="D28" t="s">
        <v>27</v>
      </c>
    </row>
    <row r="29" spans="1:4" x14ac:dyDescent="0.35">
      <c r="A29" s="1" t="s">
        <v>28</v>
      </c>
      <c r="B29" t="s">
        <v>11</v>
      </c>
      <c r="D29" t="s">
        <v>28</v>
      </c>
    </row>
    <row r="30" spans="1:4" x14ac:dyDescent="0.35">
      <c r="A30" s="1" t="s">
        <v>30</v>
      </c>
      <c r="B30" t="s">
        <v>29</v>
      </c>
      <c r="C30" cm="1">
        <f t="array" ref="C30">COUNTIF(Countries, "C*")</f>
        <v>18</v>
      </c>
      <c r="D30" t="s">
        <v>30</v>
      </c>
    </row>
    <row r="31" spans="1:4" x14ac:dyDescent="0.35">
      <c r="A31" s="1" t="s">
        <v>31</v>
      </c>
      <c r="B31" t="s">
        <v>29</v>
      </c>
      <c r="D31" t="s">
        <v>31</v>
      </c>
    </row>
    <row r="32" spans="1:4" x14ac:dyDescent="0.35">
      <c r="A32" s="1" t="s">
        <v>32</v>
      </c>
      <c r="B32" t="s">
        <v>29</v>
      </c>
      <c r="D32" t="s">
        <v>32</v>
      </c>
    </row>
    <row r="33" spans="1:4" x14ac:dyDescent="0.35">
      <c r="A33" s="1" t="s">
        <v>33</v>
      </c>
      <c r="B33" t="s">
        <v>29</v>
      </c>
      <c r="D33" t="s">
        <v>33</v>
      </c>
    </row>
    <row r="34" spans="1:4" x14ac:dyDescent="0.35">
      <c r="A34" s="1" t="s">
        <v>34</v>
      </c>
      <c r="B34" t="s">
        <v>29</v>
      </c>
      <c r="D34" t="s">
        <v>34</v>
      </c>
    </row>
    <row r="35" spans="1:4" x14ac:dyDescent="0.35">
      <c r="A35" s="1" t="s">
        <v>35</v>
      </c>
      <c r="B35" t="s">
        <v>29</v>
      </c>
      <c r="D35" t="s">
        <v>35</v>
      </c>
    </row>
    <row r="36" spans="1:4" x14ac:dyDescent="0.35">
      <c r="A36" s="1" t="s">
        <v>36</v>
      </c>
      <c r="B36" t="s">
        <v>29</v>
      </c>
      <c r="D36" t="s">
        <v>36</v>
      </c>
    </row>
    <row r="37" spans="1:4" x14ac:dyDescent="0.35">
      <c r="A37" s="1" t="s">
        <v>37</v>
      </c>
      <c r="B37" t="s">
        <v>29</v>
      </c>
      <c r="D37" t="s">
        <v>37</v>
      </c>
    </row>
    <row r="38" spans="1:4" x14ac:dyDescent="0.35">
      <c r="A38" s="1" t="s">
        <v>38</v>
      </c>
      <c r="B38" t="s">
        <v>29</v>
      </c>
      <c r="D38" t="s">
        <v>38</v>
      </c>
    </row>
    <row r="39" spans="1:4" x14ac:dyDescent="0.35">
      <c r="A39" s="1" t="s">
        <v>39</v>
      </c>
      <c r="B39" t="s">
        <v>29</v>
      </c>
      <c r="D39" t="s">
        <v>39</v>
      </c>
    </row>
    <row r="40" spans="1:4" x14ac:dyDescent="0.35">
      <c r="A40" s="1" t="s">
        <v>40</v>
      </c>
      <c r="B40" t="s">
        <v>29</v>
      </c>
      <c r="D40" t="s">
        <v>40</v>
      </c>
    </row>
    <row r="41" spans="1:4" x14ac:dyDescent="0.35">
      <c r="A41" s="1" t="s">
        <v>41</v>
      </c>
      <c r="B41" t="s">
        <v>29</v>
      </c>
      <c r="D41" t="s">
        <v>41</v>
      </c>
    </row>
    <row r="42" spans="1:4" x14ac:dyDescent="0.35">
      <c r="A42" s="1" t="s">
        <v>42</v>
      </c>
      <c r="B42" t="s">
        <v>29</v>
      </c>
      <c r="D42" t="s">
        <v>42</v>
      </c>
    </row>
    <row r="43" spans="1:4" x14ac:dyDescent="0.35">
      <c r="A43" s="1" t="s">
        <v>43</v>
      </c>
      <c r="B43" t="s">
        <v>29</v>
      </c>
      <c r="D43" t="s">
        <v>43</v>
      </c>
    </row>
    <row r="44" spans="1:4" x14ac:dyDescent="0.35">
      <c r="A44" s="1" t="s">
        <v>44</v>
      </c>
      <c r="B44" t="s">
        <v>29</v>
      </c>
      <c r="D44" t="s">
        <v>44</v>
      </c>
    </row>
    <row r="45" spans="1:4" x14ac:dyDescent="0.35">
      <c r="A45" s="1" t="s">
        <v>45</v>
      </c>
      <c r="B45" t="s">
        <v>29</v>
      </c>
      <c r="D45" t="s">
        <v>45</v>
      </c>
    </row>
    <row r="46" spans="1:4" x14ac:dyDescent="0.35">
      <c r="A46" s="1" t="s">
        <v>46</v>
      </c>
      <c r="B46" t="s">
        <v>29</v>
      </c>
      <c r="D46" t="s">
        <v>46</v>
      </c>
    </row>
    <row r="47" spans="1:4" x14ac:dyDescent="0.35">
      <c r="A47" s="1" t="s">
        <v>47</v>
      </c>
      <c r="B47" t="s">
        <v>29</v>
      </c>
      <c r="D47" t="s">
        <v>47</v>
      </c>
    </row>
    <row r="48" spans="1:4" x14ac:dyDescent="0.35">
      <c r="A48" s="1" t="s">
        <v>49</v>
      </c>
      <c r="B48" t="s">
        <v>48</v>
      </c>
      <c r="C48" cm="1">
        <f t="array" ref="C48">COUNTIF(Countries, "D*")</f>
        <v>4</v>
      </c>
      <c r="D48" t="s">
        <v>49</v>
      </c>
    </row>
    <row r="49" spans="1:4" x14ac:dyDescent="0.35">
      <c r="A49" s="1" t="s">
        <v>50</v>
      </c>
      <c r="B49" t="s">
        <v>48</v>
      </c>
      <c r="D49" t="s">
        <v>50</v>
      </c>
    </row>
    <row r="50" spans="1:4" x14ac:dyDescent="0.35">
      <c r="A50" s="1" t="s">
        <v>51</v>
      </c>
      <c r="B50" t="s">
        <v>48</v>
      </c>
      <c r="D50" t="s">
        <v>51</v>
      </c>
    </row>
    <row r="51" spans="1:4" x14ac:dyDescent="0.35">
      <c r="A51" s="1" t="s">
        <v>52</v>
      </c>
      <c r="B51" t="s">
        <v>48</v>
      </c>
      <c r="D51" t="s">
        <v>52</v>
      </c>
    </row>
    <row r="52" spans="1:4" x14ac:dyDescent="0.35">
      <c r="A52" s="1" t="s">
        <v>54</v>
      </c>
      <c r="B52" t="s">
        <v>53</v>
      </c>
      <c r="C52" cm="1">
        <f t="array" ref="C52">COUNTIF(Countries, "E*")</f>
        <v>9</v>
      </c>
      <c r="D52" t="s">
        <v>54</v>
      </c>
    </row>
    <row r="53" spans="1:4" x14ac:dyDescent="0.35">
      <c r="A53" s="1" t="s">
        <v>55</v>
      </c>
      <c r="B53" t="s">
        <v>53</v>
      </c>
      <c r="D53" t="s">
        <v>55</v>
      </c>
    </row>
    <row r="54" spans="1:4" x14ac:dyDescent="0.35">
      <c r="A54" s="1" t="s">
        <v>56</v>
      </c>
      <c r="B54" t="s">
        <v>53</v>
      </c>
      <c r="D54" t="s">
        <v>56</v>
      </c>
    </row>
    <row r="55" spans="1:4" x14ac:dyDescent="0.35">
      <c r="A55" s="1" t="s">
        <v>57</v>
      </c>
      <c r="B55" t="s">
        <v>53</v>
      </c>
      <c r="D55" t="s">
        <v>57</v>
      </c>
    </row>
    <row r="56" spans="1:4" x14ac:dyDescent="0.35">
      <c r="A56" s="1" t="s">
        <v>58</v>
      </c>
      <c r="B56" t="s">
        <v>53</v>
      </c>
      <c r="D56" t="s">
        <v>58</v>
      </c>
    </row>
    <row r="57" spans="1:4" x14ac:dyDescent="0.35">
      <c r="A57" s="1" t="s">
        <v>59</v>
      </c>
      <c r="B57" t="s">
        <v>53</v>
      </c>
      <c r="D57" t="s">
        <v>59</v>
      </c>
    </row>
    <row r="58" spans="1:4" x14ac:dyDescent="0.35">
      <c r="A58" s="1" t="s">
        <v>60</v>
      </c>
      <c r="B58" t="s">
        <v>53</v>
      </c>
      <c r="D58" t="s">
        <v>60</v>
      </c>
    </row>
    <row r="59" spans="1:4" x14ac:dyDescent="0.35">
      <c r="A59" s="1" t="s">
        <v>61</v>
      </c>
      <c r="B59" t="s">
        <v>53</v>
      </c>
      <c r="D59" t="s">
        <v>61</v>
      </c>
    </row>
    <row r="60" spans="1:4" x14ac:dyDescent="0.35">
      <c r="A60" s="1" t="s">
        <v>62</v>
      </c>
      <c r="B60" t="s">
        <v>53</v>
      </c>
      <c r="D60" t="s">
        <v>62</v>
      </c>
    </row>
    <row r="61" spans="1:4" x14ac:dyDescent="0.35">
      <c r="A61" s="1" t="s">
        <v>64</v>
      </c>
      <c r="B61" t="s">
        <v>63</v>
      </c>
      <c r="C61" cm="1">
        <f t="array" ref="C61">COUNTIF(Countries, "F*")</f>
        <v>3</v>
      </c>
      <c r="D61" t="s">
        <v>64</v>
      </c>
    </row>
    <row r="62" spans="1:4" x14ac:dyDescent="0.35">
      <c r="A62" s="1" t="s">
        <v>65</v>
      </c>
      <c r="B62" t="s">
        <v>63</v>
      </c>
      <c r="D62" t="s">
        <v>65</v>
      </c>
    </row>
    <row r="63" spans="1:4" x14ac:dyDescent="0.35">
      <c r="A63" s="1" t="s">
        <v>66</v>
      </c>
      <c r="B63" t="s">
        <v>63</v>
      </c>
      <c r="D63" t="s">
        <v>66</v>
      </c>
    </row>
    <row r="64" spans="1:4" x14ac:dyDescent="0.35">
      <c r="A64" s="1" t="s">
        <v>68</v>
      </c>
      <c r="B64" t="s">
        <v>67</v>
      </c>
      <c r="C64" cm="1">
        <f t="array" ref="C64">COUNTIF(Countries, "G*")</f>
        <v>11</v>
      </c>
      <c r="D64" t="s">
        <v>68</v>
      </c>
    </row>
    <row r="65" spans="1:4" x14ac:dyDescent="0.35">
      <c r="A65" s="1" t="s">
        <v>69</v>
      </c>
      <c r="B65" t="s">
        <v>67</v>
      </c>
      <c r="D65" t="s">
        <v>226</v>
      </c>
    </row>
    <row r="66" spans="1:4" x14ac:dyDescent="0.35">
      <c r="A66" s="1" t="s">
        <v>70</v>
      </c>
      <c r="B66" t="s">
        <v>67</v>
      </c>
      <c r="D66" t="s">
        <v>70</v>
      </c>
    </row>
    <row r="67" spans="1:4" x14ac:dyDescent="0.35">
      <c r="A67" s="1" t="s">
        <v>71</v>
      </c>
      <c r="B67" t="s">
        <v>67</v>
      </c>
      <c r="D67" t="s">
        <v>71</v>
      </c>
    </row>
    <row r="68" spans="1:4" x14ac:dyDescent="0.35">
      <c r="A68" s="1" t="s">
        <v>72</v>
      </c>
      <c r="B68" t="s">
        <v>67</v>
      </c>
      <c r="D68" t="s">
        <v>72</v>
      </c>
    </row>
    <row r="69" spans="1:4" x14ac:dyDescent="0.35">
      <c r="A69" s="1" t="s">
        <v>73</v>
      </c>
      <c r="B69" t="s">
        <v>67</v>
      </c>
      <c r="D69" t="s">
        <v>73</v>
      </c>
    </row>
    <row r="70" spans="1:4" x14ac:dyDescent="0.35">
      <c r="A70" s="1" t="s">
        <v>74</v>
      </c>
      <c r="B70" t="s">
        <v>67</v>
      </c>
      <c r="D70" t="s">
        <v>74</v>
      </c>
    </row>
    <row r="71" spans="1:4" x14ac:dyDescent="0.35">
      <c r="A71" s="1" t="s">
        <v>75</v>
      </c>
      <c r="B71" t="s">
        <v>67</v>
      </c>
      <c r="D71" t="s">
        <v>75</v>
      </c>
    </row>
    <row r="72" spans="1:4" x14ac:dyDescent="0.35">
      <c r="A72" s="1" t="s">
        <v>76</v>
      </c>
      <c r="B72" t="s">
        <v>67</v>
      </c>
      <c r="D72" t="s">
        <v>76</v>
      </c>
    </row>
    <row r="73" spans="1:4" x14ac:dyDescent="0.35">
      <c r="A73" s="1" t="s">
        <v>77</v>
      </c>
      <c r="B73" t="s">
        <v>67</v>
      </c>
      <c r="D73" t="s">
        <v>77</v>
      </c>
    </row>
    <row r="74" spans="1:4" x14ac:dyDescent="0.35">
      <c r="A74" s="1" t="s">
        <v>78</v>
      </c>
      <c r="B74" t="s">
        <v>67</v>
      </c>
      <c r="D74" t="s">
        <v>78</v>
      </c>
    </row>
    <row r="75" spans="1:4" x14ac:dyDescent="0.35">
      <c r="A75" s="1" t="s">
        <v>80</v>
      </c>
      <c r="B75" t="s">
        <v>79</v>
      </c>
      <c r="C75" cm="1">
        <f t="array" ref="C75">COUNTIF(Countries, "H*")</f>
        <v>3</v>
      </c>
      <c r="D75" t="s">
        <v>80</v>
      </c>
    </row>
    <row r="76" spans="1:4" x14ac:dyDescent="0.35">
      <c r="A76" s="1" t="s">
        <v>81</v>
      </c>
      <c r="B76" t="s">
        <v>79</v>
      </c>
      <c r="D76" t="s">
        <v>81</v>
      </c>
    </row>
    <row r="77" spans="1:4" x14ac:dyDescent="0.35">
      <c r="A77" s="1" t="s">
        <v>82</v>
      </c>
      <c r="B77" t="s">
        <v>79</v>
      </c>
      <c r="D77" t="s">
        <v>82</v>
      </c>
    </row>
    <row r="78" spans="1:4" x14ac:dyDescent="0.35">
      <c r="A78" s="1" t="s">
        <v>84</v>
      </c>
      <c r="B78" t="s">
        <v>83</v>
      </c>
      <c r="C78" cm="1">
        <f t="array" ref="C78">COUNTIF(Countries, "I*")</f>
        <v>8</v>
      </c>
      <c r="D78" t="s">
        <v>84</v>
      </c>
    </row>
    <row r="79" spans="1:4" x14ac:dyDescent="0.35">
      <c r="A79" s="1" t="s">
        <v>85</v>
      </c>
      <c r="B79" t="s">
        <v>83</v>
      </c>
      <c r="D79" t="s">
        <v>85</v>
      </c>
    </row>
    <row r="80" spans="1:4" x14ac:dyDescent="0.35">
      <c r="A80" s="1" t="s">
        <v>86</v>
      </c>
      <c r="B80" t="s">
        <v>83</v>
      </c>
      <c r="D80" t="s">
        <v>86</v>
      </c>
    </row>
    <row r="81" spans="1:4" x14ac:dyDescent="0.35">
      <c r="A81" s="1" t="s">
        <v>87</v>
      </c>
      <c r="B81" t="s">
        <v>83</v>
      </c>
      <c r="D81" t="s">
        <v>87</v>
      </c>
    </row>
    <row r="82" spans="1:4" x14ac:dyDescent="0.35">
      <c r="A82" s="1" t="s">
        <v>88</v>
      </c>
      <c r="B82" t="s">
        <v>83</v>
      </c>
      <c r="D82" t="s">
        <v>88</v>
      </c>
    </row>
    <row r="83" spans="1:4" x14ac:dyDescent="0.35">
      <c r="A83" s="1" t="s">
        <v>89</v>
      </c>
      <c r="B83" t="s">
        <v>83</v>
      </c>
      <c r="D83" t="s">
        <v>89</v>
      </c>
    </row>
    <row r="84" spans="1:4" x14ac:dyDescent="0.35">
      <c r="A84" s="1" t="s">
        <v>90</v>
      </c>
      <c r="B84" t="s">
        <v>83</v>
      </c>
      <c r="D84" t="s">
        <v>90</v>
      </c>
    </row>
    <row r="85" spans="1:4" x14ac:dyDescent="0.35">
      <c r="A85" s="1" t="s">
        <v>91</v>
      </c>
      <c r="B85" t="s">
        <v>83</v>
      </c>
      <c r="D85" t="s">
        <v>91</v>
      </c>
    </row>
    <row r="86" spans="1:4" x14ac:dyDescent="0.35">
      <c r="A86" s="1" t="s">
        <v>93</v>
      </c>
      <c r="B86" t="s">
        <v>92</v>
      </c>
      <c r="C86" cm="1">
        <f t="array" ref="C86">COUNTIF(Countries, "J*")</f>
        <v>3</v>
      </c>
      <c r="D86" t="s">
        <v>93</v>
      </c>
    </row>
    <row r="87" spans="1:4" x14ac:dyDescent="0.35">
      <c r="A87" s="1" t="s">
        <v>94</v>
      </c>
      <c r="B87" t="s">
        <v>92</v>
      </c>
      <c r="D87" t="s">
        <v>94</v>
      </c>
    </row>
    <row r="88" spans="1:4" x14ac:dyDescent="0.35">
      <c r="A88" s="1" t="s">
        <v>95</v>
      </c>
      <c r="B88" t="s">
        <v>92</v>
      </c>
      <c r="D88" t="s">
        <v>95</v>
      </c>
    </row>
    <row r="89" spans="1:4" x14ac:dyDescent="0.35">
      <c r="A89" s="1" t="s">
        <v>97</v>
      </c>
      <c r="B89" t="s">
        <v>96</v>
      </c>
      <c r="C89" cm="1">
        <f t="array" ref="C89">COUNTIF(Countries, "K*")</f>
        <v>8</v>
      </c>
      <c r="D89" t="s">
        <v>97</v>
      </c>
    </row>
    <row r="90" spans="1:4" x14ac:dyDescent="0.35">
      <c r="A90" s="1" t="s">
        <v>98</v>
      </c>
      <c r="B90" t="s">
        <v>96</v>
      </c>
      <c r="D90" t="s">
        <v>98</v>
      </c>
    </row>
    <row r="91" spans="1:4" x14ac:dyDescent="0.35">
      <c r="A91" s="1" t="s">
        <v>99</v>
      </c>
      <c r="B91" t="s">
        <v>96</v>
      </c>
      <c r="D91" t="s">
        <v>99</v>
      </c>
    </row>
    <row r="92" spans="1:4" x14ac:dyDescent="0.35">
      <c r="A92" s="1" t="s">
        <v>100</v>
      </c>
      <c r="B92" t="s">
        <v>96</v>
      </c>
      <c r="D92" t="s">
        <v>100</v>
      </c>
    </row>
    <row r="93" spans="1:4" x14ac:dyDescent="0.35">
      <c r="A93" s="1" t="s">
        <v>101</v>
      </c>
      <c r="B93" t="s">
        <v>96</v>
      </c>
      <c r="D93" t="s">
        <v>101</v>
      </c>
    </row>
    <row r="94" spans="1:4" x14ac:dyDescent="0.35">
      <c r="A94" s="1" t="s">
        <v>102</v>
      </c>
      <c r="B94" t="s">
        <v>96</v>
      </c>
      <c r="D94" t="s">
        <v>102</v>
      </c>
    </row>
    <row r="95" spans="1:4" x14ac:dyDescent="0.35">
      <c r="A95" s="1" t="s">
        <v>103</v>
      </c>
      <c r="B95" t="s">
        <v>96</v>
      </c>
      <c r="D95" t="s">
        <v>103</v>
      </c>
    </row>
    <row r="96" spans="1:4" x14ac:dyDescent="0.35">
      <c r="A96" s="1" t="s">
        <v>104</v>
      </c>
      <c r="B96" t="s">
        <v>96</v>
      </c>
      <c r="D96" t="s">
        <v>104</v>
      </c>
    </row>
    <row r="97" spans="1:4" x14ac:dyDescent="0.35">
      <c r="A97" s="1" t="s">
        <v>106</v>
      </c>
      <c r="B97" t="s">
        <v>105</v>
      </c>
      <c r="C97" cm="1">
        <f t="array" ref="C97">COUNTIF(Countries, "L*")</f>
        <v>9</v>
      </c>
      <c r="D97" t="s">
        <v>106</v>
      </c>
    </row>
    <row r="98" spans="1:4" x14ac:dyDescent="0.35">
      <c r="A98" s="1" t="s">
        <v>107</v>
      </c>
      <c r="B98" t="s">
        <v>105</v>
      </c>
      <c r="D98" t="s">
        <v>107</v>
      </c>
    </row>
    <row r="99" spans="1:4" x14ac:dyDescent="0.35">
      <c r="A99" s="1" t="s">
        <v>108</v>
      </c>
      <c r="B99" t="s">
        <v>105</v>
      </c>
      <c r="D99" t="s">
        <v>108</v>
      </c>
    </row>
    <row r="100" spans="1:4" x14ac:dyDescent="0.35">
      <c r="A100" s="1" t="s">
        <v>109</v>
      </c>
      <c r="B100" t="s">
        <v>105</v>
      </c>
      <c r="D100" t="s">
        <v>109</v>
      </c>
    </row>
    <row r="101" spans="1:4" x14ac:dyDescent="0.35">
      <c r="A101" s="1" t="s">
        <v>110</v>
      </c>
      <c r="B101" t="s">
        <v>105</v>
      </c>
      <c r="D101" t="s">
        <v>110</v>
      </c>
    </row>
    <row r="102" spans="1:4" x14ac:dyDescent="0.35">
      <c r="A102" s="1" t="s">
        <v>111</v>
      </c>
      <c r="B102" t="s">
        <v>105</v>
      </c>
      <c r="D102" t="s">
        <v>111</v>
      </c>
    </row>
    <row r="103" spans="1:4" x14ac:dyDescent="0.35">
      <c r="A103" s="1" t="s">
        <v>112</v>
      </c>
      <c r="B103" t="s">
        <v>105</v>
      </c>
      <c r="D103" t="s">
        <v>112</v>
      </c>
    </row>
    <row r="104" spans="1:4" x14ac:dyDescent="0.35">
      <c r="A104" s="1" t="s">
        <v>113</v>
      </c>
      <c r="B104" t="s">
        <v>105</v>
      </c>
      <c r="D104" t="s">
        <v>113</v>
      </c>
    </row>
    <row r="105" spans="1:4" x14ac:dyDescent="0.35">
      <c r="A105" s="1" t="s">
        <v>114</v>
      </c>
      <c r="B105" t="s">
        <v>105</v>
      </c>
      <c r="D105" t="s">
        <v>114</v>
      </c>
    </row>
    <row r="106" spans="1:4" x14ac:dyDescent="0.35">
      <c r="A106" s="1" t="s">
        <v>116</v>
      </c>
      <c r="B106" t="s">
        <v>115</v>
      </c>
      <c r="C106" cm="1">
        <f t="array" ref="C106">COUNTIF(Countries, "M*")</f>
        <v>18</v>
      </c>
      <c r="D106" t="s">
        <v>116</v>
      </c>
    </row>
    <row r="107" spans="1:4" x14ac:dyDescent="0.35">
      <c r="A107" s="1" t="s">
        <v>117</v>
      </c>
      <c r="B107" t="s">
        <v>115</v>
      </c>
      <c r="D107" t="s">
        <v>117</v>
      </c>
    </row>
    <row r="108" spans="1:4" x14ac:dyDescent="0.35">
      <c r="A108" s="1" t="s">
        <v>118</v>
      </c>
      <c r="B108" t="s">
        <v>115</v>
      </c>
      <c r="D108" t="s">
        <v>118</v>
      </c>
    </row>
    <row r="109" spans="1:4" x14ac:dyDescent="0.35">
      <c r="A109" s="1" t="s">
        <v>119</v>
      </c>
      <c r="B109" t="s">
        <v>115</v>
      </c>
      <c r="D109" t="s">
        <v>119</v>
      </c>
    </row>
    <row r="110" spans="1:4" x14ac:dyDescent="0.35">
      <c r="A110" s="1" t="s">
        <v>120</v>
      </c>
      <c r="B110" t="s">
        <v>115</v>
      </c>
      <c r="D110" t="s">
        <v>120</v>
      </c>
    </row>
    <row r="111" spans="1:4" x14ac:dyDescent="0.35">
      <c r="A111" s="1" t="s">
        <v>121</v>
      </c>
      <c r="B111" t="s">
        <v>115</v>
      </c>
      <c r="D111" t="s">
        <v>121</v>
      </c>
    </row>
    <row r="112" spans="1:4" x14ac:dyDescent="0.35">
      <c r="A112" s="1" t="s">
        <v>122</v>
      </c>
      <c r="B112" t="s">
        <v>115</v>
      </c>
      <c r="D112" t="s">
        <v>122</v>
      </c>
    </row>
    <row r="113" spans="1:4" x14ac:dyDescent="0.35">
      <c r="A113" s="1" t="s">
        <v>123</v>
      </c>
      <c r="B113" t="s">
        <v>115</v>
      </c>
      <c r="D113" t="s">
        <v>123</v>
      </c>
    </row>
    <row r="114" spans="1:4" x14ac:dyDescent="0.35">
      <c r="A114" s="1" t="s">
        <v>124</v>
      </c>
      <c r="B114" t="s">
        <v>115</v>
      </c>
      <c r="D114" t="s">
        <v>124</v>
      </c>
    </row>
    <row r="115" spans="1:4" x14ac:dyDescent="0.35">
      <c r="A115" s="1" t="s">
        <v>125</v>
      </c>
      <c r="B115" t="s">
        <v>115</v>
      </c>
      <c r="D115" t="s">
        <v>125</v>
      </c>
    </row>
    <row r="116" spans="1:4" x14ac:dyDescent="0.35">
      <c r="A116" s="1" t="s">
        <v>126</v>
      </c>
      <c r="B116" t="s">
        <v>115</v>
      </c>
      <c r="D116" t="s">
        <v>126</v>
      </c>
    </row>
    <row r="117" spans="1:4" x14ac:dyDescent="0.35">
      <c r="A117" s="1" t="s">
        <v>127</v>
      </c>
      <c r="B117" t="s">
        <v>115</v>
      </c>
      <c r="D117" t="s">
        <v>127</v>
      </c>
    </row>
    <row r="118" spans="1:4" x14ac:dyDescent="0.35">
      <c r="A118" s="1" t="s">
        <v>128</v>
      </c>
      <c r="B118" t="s">
        <v>115</v>
      </c>
      <c r="D118" t="s">
        <v>128</v>
      </c>
    </row>
    <row r="119" spans="1:4" x14ac:dyDescent="0.35">
      <c r="A119" s="1" t="s">
        <v>129</v>
      </c>
      <c r="B119" t="s">
        <v>115</v>
      </c>
      <c r="D119" t="s">
        <v>129</v>
      </c>
    </row>
    <row r="120" spans="1:4" x14ac:dyDescent="0.35">
      <c r="A120" s="1" t="s">
        <v>130</v>
      </c>
      <c r="B120" t="s">
        <v>115</v>
      </c>
      <c r="D120" t="s">
        <v>130</v>
      </c>
    </row>
    <row r="121" spans="1:4" x14ac:dyDescent="0.35">
      <c r="A121" s="1" t="s">
        <v>131</v>
      </c>
      <c r="B121" t="s">
        <v>115</v>
      </c>
      <c r="D121" t="s">
        <v>131</v>
      </c>
    </row>
    <row r="122" spans="1:4" x14ac:dyDescent="0.35">
      <c r="A122" s="1" t="s">
        <v>132</v>
      </c>
      <c r="B122" t="s">
        <v>115</v>
      </c>
      <c r="D122" t="s">
        <v>132</v>
      </c>
    </row>
    <row r="123" spans="1:4" x14ac:dyDescent="0.35">
      <c r="A123" s="1" t="s">
        <v>133</v>
      </c>
      <c r="B123" t="s">
        <v>115</v>
      </c>
      <c r="D123" t="s">
        <v>133</v>
      </c>
    </row>
    <row r="124" spans="1:4" x14ac:dyDescent="0.35">
      <c r="A124" s="1" t="s">
        <v>135</v>
      </c>
      <c r="B124" t="s">
        <v>134</v>
      </c>
      <c r="C124" cm="1">
        <f t="array" ref="C124">COUNTIF(Countries, "N*")</f>
        <v>10</v>
      </c>
      <c r="D124" t="s">
        <v>135</v>
      </c>
    </row>
    <row r="125" spans="1:4" x14ac:dyDescent="0.35">
      <c r="A125" s="1" t="s">
        <v>136</v>
      </c>
      <c r="B125" t="s">
        <v>134</v>
      </c>
      <c r="D125" t="s">
        <v>136</v>
      </c>
    </row>
    <row r="126" spans="1:4" x14ac:dyDescent="0.35">
      <c r="A126" s="1" t="s">
        <v>137</v>
      </c>
      <c r="B126" t="s">
        <v>134</v>
      </c>
      <c r="D126" t="s">
        <v>137</v>
      </c>
    </row>
    <row r="127" spans="1:4" x14ac:dyDescent="0.35">
      <c r="A127" s="1" t="s">
        <v>138</v>
      </c>
      <c r="B127" t="s">
        <v>134</v>
      </c>
      <c r="D127" t="s">
        <v>138</v>
      </c>
    </row>
    <row r="128" spans="1:4" x14ac:dyDescent="0.35">
      <c r="A128" s="1" t="s">
        <v>139</v>
      </c>
      <c r="B128" t="s">
        <v>134</v>
      </c>
      <c r="D128" t="s">
        <v>139</v>
      </c>
    </row>
    <row r="129" spans="1:4" x14ac:dyDescent="0.35">
      <c r="A129" s="1" t="s">
        <v>140</v>
      </c>
      <c r="B129" t="s">
        <v>134</v>
      </c>
      <c r="D129" t="s">
        <v>140</v>
      </c>
    </row>
    <row r="130" spans="1:4" x14ac:dyDescent="0.35">
      <c r="A130" s="1" t="s">
        <v>141</v>
      </c>
      <c r="B130" t="s">
        <v>134</v>
      </c>
      <c r="D130" t="s">
        <v>141</v>
      </c>
    </row>
    <row r="131" spans="1:4" x14ac:dyDescent="0.35">
      <c r="A131" s="1" t="s">
        <v>142</v>
      </c>
      <c r="B131" t="s">
        <v>134</v>
      </c>
      <c r="D131" t="s">
        <v>142</v>
      </c>
    </row>
    <row r="132" spans="1:4" x14ac:dyDescent="0.35">
      <c r="A132" s="1" t="s">
        <v>143</v>
      </c>
      <c r="B132" t="s">
        <v>134</v>
      </c>
      <c r="D132" t="s">
        <v>143</v>
      </c>
    </row>
    <row r="133" spans="1:4" x14ac:dyDescent="0.35">
      <c r="A133" s="1" t="s">
        <v>144</v>
      </c>
      <c r="B133" t="s">
        <v>134</v>
      </c>
      <c r="D133" t="s">
        <v>144</v>
      </c>
    </row>
    <row r="134" spans="1:4" x14ac:dyDescent="0.35">
      <c r="A134" s="1" t="s">
        <v>146</v>
      </c>
      <c r="B134" t="s">
        <v>145</v>
      </c>
      <c r="C134" cm="1">
        <f t="array" ref="C134">COUNTIF(Countries, "O*")</f>
        <v>1</v>
      </c>
      <c r="D134" t="s">
        <v>146</v>
      </c>
    </row>
    <row r="135" spans="1:4" x14ac:dyDescent="0.35">
      <c r="A135" s="1" t="s">
        <v>148</v>
      </c>
      <c r="B135" t="s">
        <v>147</v>
      </c>
      <c r="C135" cm="1">
        <f t="array" ref="C135">COUNTIF(Countries, "P*")</f>
        <v>9</v>
      </c>
      <c r="D135" t="s">
        <v>148</v>
      </c>
    </row>
    <row r="136" spans="1:4" x14ac:dyDescent="0.35">
      <c r="A136" s="1" t="s">
        <v>149</v>
      </c>
      <c r="B136" t="s">
        <v>147</v>
      </c>
      <c r="D136" t="s">
        <v>149</v>
      </c>
    </row>
    <row r="137" spans="1:4" x14ac:dyDescent="0.35">
      <c r="A137" s="1" t="s">
        <v>150</v>
      </c>
      <c r="B137" t="s">
        <v>147</v>
      </c>
      <c r="D137" t="s">
        <v>150</v>
      </c>
    </row>
    <row r="138" spans="1:4" x14ac:dyDescent="0.35">
      <c r="A138" s="1" t="s">
        <v>151</v>
      </c>
      <c r="B138" t="s">
        <v>147</v>
      </c>
      <c r="D138" t="s">
        <v>151</v>
      </c>
    </row>
    <row r="139" spans="1:4" x14ac:dyDescent="0.35">
      <c r="A139" s="1" t="s">
        <v>152</v>
      </c>
      <c r="B139" t="s">
        <v>147</v>
      </c>
      <c r="D139" t="s">
        <v>152</v>
      </c>
    </row>
    <row r="140" spans="1:4" x14ac:dyDescent="0.35">
      <c r="A140" s="1" t="s">
        <v>153</v>
      </c>
      <c r="B140" t="s">
        <v>147</v>
      </c>
      <c r="D140" t="s">
        <v>153</v>
      </c>
    </row>
    <row r="141" spans="1:4" x14ac:dyDescent="0.35">
      <c r="A141" s="1" t="s">
        <v>154</v>
      </c>
      <c r="B141" t="s">
        <v>147</v>
      </c>
      <c r="D141" t="s">
        <v>154</v>
      </c>
    </row>
    <row r="142" spans="1:4" x14ac:dyDescent="0.35">
      <c r="A142" s="1" t="s">
        <v>155</v>
      </c>
      <c r="B142" t="s">
        <v>147</v>
      </c>
      <c r="D142" t="s">
        <v>155</v>
      </c>
    </row>
    <row r="143" spans="1:4" x14ac:dyDescent="0.35">
      <c r="A143" s="1" t="s">
        <v>156</v>
      </c>
      <c r="B143" t="s">
        <v>147</v>
      </c>
      <c r="D143" t="s">
        <v>156</v>
      </c>
    </row>
    <row r="144" spans="1:4" x14ac:dyDescent="0.35">
      <c r="A144" s="1" t="s">
        <v>158</v>
      </c>
      <c r="B144" t="s">
        <v>157</v>
      </c>
      <c r="C144" cm="1">
        <f t="array" ref="C144">COUNTIF(Countries, "Q*")</f>
        <v>1</v>
      </c>
      <c r="D144" t="s">
        <v>158</v>
      </c>
    </row>
    <row r="145" spans="1:4" x14ac:dyDescent="0.35">
      <c r="A145" s="1" t="s">
        <v>160</v>
      </c>
      <c r="B145" t="s">
        <v>159</v>
      </c>
      <c r="C145" cm="1">
        <f t="array" ref="C145">COUNTIF(Countries, "R*")</f>
        <v>3</v>
      </c>
      <c r="D145" t="s">
        <v>160</v>
      </c>
    </row>
    <row r="146" spans="1:4" x14ac:dyDescent="0.35">
      <c r="A146" s="1" t="s">
        <v>161</v>
      </c>
      <c r="B146" t="s">
        <v>159</v>
      </c>
      <c r="D146" t="s">
        <v>161</v>
      </c>
    </row>
    <row r="147" spans="1:4" x14ac:dyDescent="0.35">
      <c r="A147" s="1" t="s">
        <v>162</v>
      </c>
      <c r="B147" t="s">
        <v>159</v>
      </c>
      <c r="D147" t="s">
        <v>162</v>
      </c>
    </row>
    <row r="148" spans="1:4" x14ac:dyDescent="0.35">
      <c r="A148" s="1" t="s">
        <v>164</v>
      </c>
      <c r="B148" t="s">
        <v>163</v>
      </c>
      <c r="C148" cm="1">
        <f t="array" ref="C148">COUNTIF(Countries, "S*")</f>
        <v>25</v>
      </c>
      <c r="D148" t="s">
        <v>164</v>
      </c>
    </row>
    <row r="149" spans="1:4" x14ac:dyDescent="0.35">
      <c r="A149" s="1" t="s">
        <v>165</v>
      </c>
      <c r="B149" t="s">
        <v>163</v>
      </c>
      <c r="D149" t="s">
        <v>165</v>
      </c>
    </row>
    <row r="150" spans="1:4" x14ac:dyDescent="0.35">
      <c r="A150" s="1" t="s">
        <v>166</v>
      </c>
      <c r="B150" t="s">
        <v>163</v>
      </c>
      <c r="D150" t="s">
        <v>166</v>
      </c>
    </row>
    <row r="151" spans="1:4" x14ac:dyDescent="0.35">
      <c r="A151" s="1" t="s">
        <v>167</v>
      </c>
      <c r="B151" t="s">
        <v>163</v>
      </c>
      <c r="D151" t="s">
        <v>167</v>
      </c>
    </row>
    <row r="152" spans="1:4" x14ac:dyDescent="0.35">
      <c r="A152" s="1" t="s">
        <v>168</v>
      </c>
      <c r="B152" t="s">
        <v>163</v>
      </c>
      <c r="D152" t="s">
        <v>168</v>
      </c>
    </row>
    <row r="153" spans="1:4" x14ac:dyDescent="0.35">
      <c r="A153" s="1" t="s">
        <v>169</v>
      </c>
      <c r="B153" t="s">
        <v>163</v>
      </c>
      <c r="D153" t="s">
        <v>169</v>
      </c>
    </row>
    <row r="154" spans="1:4" x14ac:dyDescent="0.35">
      <c r="A154" s="1" t="s">
        <v>170</v>
      </c>
      <c r="B154" t="s">
        <v>163</v>
      </c>
      <c r="D154" t="s">
        <v>170</v>
      </c>
    </row>
    <row r="155" spans="1:4" x14ac:dyDescent="0.35">
      <c r="A155" s="1" t="s">
        <v>171</v>
      </c>
      <c r="B155" t="s">
        <v>163</v>
      </c>
      <c r="D155" t="s">
        <v>171</v>
      </c>
    </row>
    <row r="156" spans="1:4" x14ac:dyDescent="0.35">
      <c r="A156" s="1" t="s">
        <v>172</v>
      </c>
      <c r="B156" t="s">
        <v>163</v>
      </c>
      <c r="D156" t="s">
        <v>172</v>
      </c>
    </row>
    <row r="157" spans="1:4" x14ac:dyDescent="0.35">
      <c r="A157" s="1" t="s">
        <v>173</v>
      </c>
      <c r="B157" t="s">
        <v>163</v>
      </c>
      <c r="D157" t="s">
        <v>173</v>
      </c>
    </row>
    <row r="158" spans="1:4" x14ac:dyDescent="0.35">
      <c r="A158" s="1" t="s">
        <v>174</v>
      </c>
      <c r="B158" t="s">
        <v>163</v>
      </c>
      <c r="D158" t="s">
        <v>174</v>
      </c>
    </row>
    <row r="159" spans="1:4" x14ac:dyDescent="0.35">
      <c r="A159" s="1" t="s">
        <v>175</v>
      </c>
      <c r="B159" t="s">
        <v>163</v>
      </c>
      <c r="D159" t="s">
        <v>175</v>
      </c>
    </row>
    <row r="160" spans="1:4" x14ac:dyDescent="0.35">
      <c r="A160" s="1" t="s">
        <v>176</v>
      </c>
      <c r="B160" t="s">
        <v>163</v>
      </c>
      <c r="D160" t="s">
        <v>176</v>
      </c>
    </row>
    <row r="161" spans="1:4" x14ac:dyDescent="0.35">
      <c r="A161" s="1" t="s">
        <v>177</v>
      </c>
      <c r="B161" t="s">
        <v>163</v>
      </c>
      <c r="D161" t="s">
        <v>177</v>
      </c>
    </row>
    <row r="162" spans="1:4" x14ac:dyDescent="0.35">
      <c r="A162" s="1" t="s">
        <v>178</v>
      </c>
      <c r="B162" t="s">
        <v>163</v>
      </c>
      <c r="D162" t="s">
        <v>178</v>
      </c>
    </row>
    <row r="163" spans="1:4" x14ac:dyDescent="0.35">
      <c r="A163" s="1" t="s">
        <v>179</v>
      </c>
      <c r="B163" t="s">
        <v>163</v>
      </c>
      <c r="D163" t="s">
        <v>179</v>
      </c>
    </row>
    <row r="164" spans="1:4" x14ac:dyDescent="0.35">
      <c r="A164" s="1" t="s">
        <v>180</v>
      </c>
      <c r="B164" t="s">
        <v>163</v>
      </c>
      <c r="D164" t="s">
        <v>180</v>
      </c>
    </row>
    <row r="165" spans="1:4" x14ac:dyDescent="0.35">
      <c r="A165" s="1" t="s">
        <v>181</v>
      </c>
      <c r="B165" t="s">
        <v>163</v>
      </c>
      <c r="D165" t="s">
        <v>181</v>
      </c>
    </row>
    <row r="166" spans="1:4" x14ac:dyDescent="0.35">
      <c r="A166" s="1" t="s">
        <v>182</v>
      </c>
      <c r="B166" t="s">
        <v>163</v>
      </c>
      <c r="D166" t="s">
        <v>182</v>
      </c>
    </row>
    <row r="167" spans="1:4" x14ac:dyDescent="0.35">
      <c r="A167" s="1" t="s">
        <v>183</v>
      </c>
      <c r="B167" t="s">
        <v>163</v>
      </c>
      <c r="D167" t="s">
        <v>183</v>
      </c>
    </row>
    <row r="168" spans="1:4" x14ac:dyDescent="0.35">
      <c r="A168" s="1" t="s">
        <v>184</v>
      </c>
      <c r="B168" t="s">
        <v>163</v>
      </c>
      <c r="D168" t="s">
        <v>184</v>
      </c>
    </row>
    <row r="169" spans="1:4" x14ac:dyDescent="0.35">
      <c r="A169" s="1" t="s">
        <v>185</v>
      </c>
      <c r="B169" t="s">
        <v>163</v>
      </c>
      <c r="D169" t="s">
        <v>185</v>
      </c>
    </row>
    <row r="170" spans="1:4" x14ac:dyDescent="0.35">
      <c r="A170" s="1" t="s">
        <v>186</v>
      </c>
      <c r="B170" t="s">
        <v>163</v>
      </c>
      <c r="D170" t="s">
        <v>186</v>
      </c>
    </row>
    <row r="171" spans="1:4" x14ac:dyDescent="0.35">
      <c r="A171" s="1" t="s">
        <v>187</v>
      </c>
      <c r="B171" t="s">
        <v>163</v>
      </c>
      <c r="D171" t="s">
        <v>187</v>
      </c>
    </row>
    <row r="172" spans="1:4" x14ac:dyDescent="0.35">
      <c r="A172" s="1" t="s">
        <v>188</v>
      </c>
      <c r="B172" t="s">
        <v>163</v>
      </c>
      <c r="D172" t="s">
        <v>188</v>
      </c>
    </row>
    <row r="173" spans="1:4" x14ac:dyDescent="0.35">
      <c r="A173" s="1" t="s">
        <v>190</v>
      </c>
      <c r="B173" t="s">
        <v>189</v>
      </c>
      <c r="C173" cm="1">
        <f t="array" ref="C173">COUNTIF(Countries, "T*")</f>
        <v>11</v>
      </c>
      <c r="D173" t="s">
        <v>190</v>
      </c>
    </row>
    <row r="174" spans="1:4" x14ac:dyDescent="0.35">
      <c r="A174" s="1" t="s">
        <v>191</v>
      </c>
      <c r="B174" t="s">
        <v>189</v>
      </c>
      <c r="D174" t="s">
        <v>191</v>
      </c>
    </row>
    <row r="175" spans="1:4" x14ac:dyDescent="0.35">
      <c r="A175" s="1" t="s">
        <v>192</v>
      </c>
      <c r="B175" t="s">
        <v>189</v>
      </c>
      <c r="D175" t="s">
        <v>192</v>
      </c>
    </row>
    <row r="176" spans="1:4" x14ac:dyDescent="0.35">
      <c r="A176" s="1" t="s">
        <v>193</v>
      </c>
      <c r="B176" t="s">
        <v>189</v>
      </c>
      <c r="D176" t="s">
        <v>193</v>
      </c>
    </row>
    <row r="177" spans="1:4" x14ac:dyDescent="0.35">
      <c r="A177" s="1" t="s">
        <v>194</v>
      </c>
      <c r="B177" t="s">
        <v>189</v>
      </c>
      <c r="D177" t="s">
        <v>194</v>
      </c>
    </row>
    <row r="178" spans="1:4" x14ac:dyDescent="0.35">
      <c r="A178" s="1" t="s">
        <v>195</v>
      </c>
      <c r="B178" t="s">
        <v>189</v>
      </c>
      <c r="D178" t="s">
        <v>195</v>
      </c>
    </row>
    <row r="179" spans="1:4" x14ac:dyDescent="0.35">
      <c r="A179" s="1" t="s">
        <v>196</v>
      </c>
      <c r="B179" t="s">
        <v>189</v>
      </c>
      <c r="D179" t="s">
        <v>196</v>
      </c>
    </row>
    <row r="180" spans="1:4" x14ac:dyDescent="0.35">
      <c r="A180" s="1" t="s">
        <v>197</v>
      </c>
      <c r="B180" t="s">
        <v>189</v>
      </c>
      <c r="D180" t="s">
        <v>197</v>
      </c>
    </row>
    <row r="181" spans="1:4" x14ac:dyDescent="0.35">
      <c r="A181" s="1" t="s">
        <v>198</v>
      </c>
      <c r="B181" t="s">
        <v>189</v>
      </c>
      <c r="D181" t="s">
        <v>198</v>
      </c>
    </row>
    <row r="182" spans="1:4" x14ac:dyDescent="0.35">
      <c r="A182" s="1" t="s">
        <v>199</v>
      </c>
      <c r="B182" t="s">
        <v>189</v>
      </c>
      <c r="D182" t="s">
        <v>199</v>
      </c>
    </row>
    <row r="183" spans="1:4" x14ac:dyDescent="0.35">
      <c r="A183" s="1" t="s">
        <v>200</v>
      </c>
      <c r="B183" t="s">
        <v>189</v>
      </c>
      <c r="D183" t="s">
        <v>200</v>
      </c>
    </row>
    <row r="184" spans="1:4" x14ac:dyDescent="0.35">
      <c r="A184" s="1" t="s">
        <v>202</v>
      </c>
      <c r="B184" t="s">
        <v>201</v>
      </c>
      <c r="C184" cm="1">
        <f t="array" ref="C184">COUNTIF(Countries, "U*")</f>
        <v>7</v>
      </c>
      <c r="D184" t="s">
        <v>202</v>
      </c>
    </row>
    <row r="185" spans="1:4" x14ac:dyDescent="0.35">
      <c r="A185" s="1" t="s">
        <v>203</v>
      </c>
      <c r="B185" t="s">
        <v>201</v>
      </c>
      <c r="D185" t="s">
        <v>203</v>
      </c>
    </row>
    <row r="186" spans="1:4" x14ac:dyDescent="0.35">
      <c r="A186" s="1" t="s">
        <v>204</v>
      </c>
      <c r="B186" t="s">
        <v>201</v>
      </c>
      <c r="D186" t="s">
        <v>204</v>
      </c>
    </row>
    <row r="187" spans="1:4" x14ac:dyDescent="0.35">
      <c r="A187" s="1" t="s">
        <v>205</v>
      </c>
      <c r="B187" t="s">
        <v>201</v>
      </c>
      <c r="D187" t="s">
        <v>205</v>
      </c>
    </row>
    <row r="188" spans="1:4" x14ac:dyDescent="0.35">
      <c r="A188" s="1" t="s">
        <v>206</v>
      </c>
      <c r="B188" t="s">
        <v>201</v>
      </c>
      <c r="D188" t="s">
        <v>206</v>
      </c>
    </row>
    <row r="189" spans="1:4" x14ac:dyDescent="0.35">
      <c r="A189" s="1" t="s">
        <v>207</v>
      </c>
      <c r="B189" t="s">
        <v>201</v>
      </c>
      <c r="D189" t="s">
        <v>207</v>
      </c>
    </row>
    <row r="190" spans="1:4" x14ac:dyDescent="0.35">
      <c r="A190" s="1" t="s">
        <v>208</v>
      </c>
      <c r="B190" t="s">
        <v>201</v>
      </c>
      <c r="D190" t="s">
        <v>208</v>
      </c>
    </row>
    <row r="191" spans="1:4" x14ac:dyDescent="0.35">
      <c r="A191" s="1" t="s">
        <v>210</v>
      </c>
      <c r="B191" t="s">
        <v>209</v>
      </c>
      <c r="C191" cm="1">
        <f t="array" ref="C191">COUNTIF(Countries, "V*")</f>
        <v>4</v>
      </c>
      <c r="D191" t="s">
        <v>210</v>
      </c>
    </row>
    <row r="192" spans="1:4" x14ac:dyDescent="0.35">
      <c r="A192" s="1" t="s">
        <v>211</v>
      </c>
      <c r="B192" t="s">
        <v>209</v>
      </c>
      <c r="D192" t="s">
        <v>211</v>
      </c>
    </row>
    <row r="193" spans="1:4" x14ac:dyDescent="0.35">
      <c r="A193" s="1" t="s">
        <v>212</v>
      </c>
      <c r="B193" t="s">
        <v>209</v>
      </c>
      <c r="D193" t="s">
        <v>212</v>
      </c>
    </row>
    <row r="194" spans="1:4" x14ac:dyDescent="0.35">
      <c r="A194" s="1" t="s">
        <v>213</v>
      </c>
      <c r="B194" t="s">
        <v>209</v>
      </c>
      <c r="D194" t="s">
        <v>213</v>
      </c>
    </row>
    <row r="195" spans="1:4" x14ac:dyDescent="0.35">
      <c r="A195" s="1" t="s">
        <v>215</v>
      </c>
      <c r="B195" t="s">
        <v>214</v>
      </c>
      <c r="C195" cm="1">
        <f t="array" ref="C195">COUNTIF(Countries, "Y*")</f>
        <v>1</v>
      </c>
      <c r="D195" t="s">
        <v>215</v>
      </c>
    </row>
    <row r="196" spans="1:4" x14ac:dyDescent="0.35">
      <c r="A196" s="1" t="s">
        <v>217</v>
      </c>
      <c r="B196" t="s">
        <v>216</v>
      </c>
      <c r="C196" cm="1">
        <f t="array" ref="C196">COUNTIF(Countries, "Z*")</f>
        <v>2</v>
      </c>
      <c r="D196" t="s">
        <v>217</v>
      </c>
    </row>
    <row r="197" spans="1:4" x14ac:dyDescent="0.35">
      <c r="A197" s="1" t="s">
        <v>218</v>
      </c>
      <c r="B197" t="s">
        <v>216</v>
      </c>
      <c r="D197" t="s">
        <v>218</v>
      </c>
    </row>
    <row r="198" spans="1:4" x14ac:dyDescent="0.35">
      <c r="A198" t="s">
        <v>222</v>
      </c>
      <c r="D198" t="str">
        <f>INDEX(B2:B197, MATCH(MAX(C2:C197), C2:C197, 0))</f>
        <v>S</v>
      </c>
    </row>
  </sheetData>
  <sheetProtection algorithmName="SHA-512" hashValue="SPqBh5qC1z0bJQPCM/ShS1ymfFZq6OrYyqTkCdP8HF4SYZEhFsSAss2oO7uKNTKAmMebO6nY9cKfoB0BT0xbIA==" saltValue="1/kPA56LLurmolPDtZ31ow==" spinCount="100000" sheet="1" objects="1" scenarios="1" selectLockedCells="1"/>
  <hyperlinks>
    <hyperlink ref="A2" r:id="rId1" display="https://www.britannica.com/place/Afghanistan" xr:uid="{4E4AEA5C-0486-43AC-883F-A96E8DF39FA3}"/>
    <hyperlink ref="A3" r:id="rId2" display="https://www.britannica.com/place/Albania" xr:uid="{8314D367-92D6-4443-8A8C-DC0D7167D5E3}"/>
    <hyperlink ref="A4" r:id="rId3" display="https://www.britannica.com/place/Algeria" xr:uid="{9C17EC4F-9126-4143-A1E0-F207FA591007}"/>
    <hyperlink ref="A5" r:id="rId4" display="https://www.britannica.com/place/Andorra" xr:uid="{D78789C6-A5E3-4415-B022-7601FC5CABAF}"/>
    <hyperlink ref="A6" r:id="rId5" display="https://www.britannica.com/place/Angola" xr:uid="{1028DF28-5202-4AE4-BCEB-C3983243179B}"/>
    <hyperlink ref="A7" r:id="rId6" display="https://www.britannica.com/place/Antigua-and-Barbuda" xr:uid="{67A25D1F-C171-49F5-9659-98704A4BA074}"/>
    <hyperlink ref="A8" r:id="rId7" display="https://www.britannica.com/place/Argentina" xr:uid="{B1131BE7-80D0-48EE-BBBF-D679A4FB813A}"/>
    <hyperlink ref="A9" r:id="rId8" display="https://www.britannica.com/place/Armenia" xr:uid="{3B4C2ED6-69B5-4B34-8C06-F5E6602F13DA}"/>
    <hyperlink ref="A10" r:id="rId9" display="https://www.britannica.com/place/Australia" xr:uid="{C63EA1D0-0F6D-44A2-9CB2-2B19003C13EC}"/>
    <hyperlink ref="A11" r:id="rId10" display="https://www.britannica.com/place/Austria" xr:uid="{0F9B7D26-03F3-41C0-9AF2-44079F14568A}"/>
    <hyperlink ref="A12" r:id="rId11" display="https://www.britannica.com/place/Azerbaijan" xr:uid="{20DFCCF9-BA0E-410B-9BC4-DFABBAA759C9}"/>
    <hyperlink ref="A13" r:id="rId12" display="https://www.britannica.com/place/The-Bahamas" xr:uid="{2006ECBA-7929-42BB-8E5B-D67CF5C06FFC}"/>
    <hyperlink ref="A14" r:id="rId13" display="https://www.britannica.com/place/Bahrain" xr:uid="{606D7BE0-DFBA-4162-AE55-EF9A4332C39D}"/>
    <hyperlink ref="A15" r:id="rId14" display="https://www.britannica.com/place/Bangladesh" xr:uid="{3FE93F5E-58F2-416A-82AA-E2EAC7392772}"/>
    <hyperlink ref="A16" r:id="rId15" display="https://www.britannica.com/place/Barbados" xr:uid="{C95E0904-5013-46A3-AE7E-B0D6E0F16BA6}"/>
    <hyperlink ref="A17" r:id="rId16" display="https://www.britannica.com/place/Belarus" xr:uid="{1496FEF4-FDDE-483F-AA7F-A6D8955B8A5F}"/>
    <hyperlink ref="A18" r:id="rId17" display="https://www.britannica.com/place/Belgium" xr:uid="{E95E82A5-AD19-4997-AA22-152BE0BE8CF4}"/>
    <hyperlink ref="A19" r:id="rId18" display="https://www.britannica.com/place/Belize" xr:uid="{658B68EC-A1BE-4E5A-9129-DE0B9C4160B7}"/>
    <hyperlink ref="A20" r:id="rId19" display="https://www.britannica.com/place/Benin" xr:uid="{ADE8AE68-2518-4810-85C5-AD42D952CDAF}"/>
    <hyperlink ref="A21" r:id="rId20" display="https://www.britannica.com/place/Bhutan" xr:uid="{28B363AE-BC08-4982-AC59-EA2330CFD029}"/>
    <hyperlink ref="A22" r:id="rId21" display="https://www.britannica.com/place/Bolivia" xr:uid="{71352B4B-81AB-41F5-B802-A01BE9DB233E}"/>
    <hyperlink ref="A23" r:id="rId22" display="https://www.britannica.com/place/Bosnia-and-Herzegovina" xr:uid="{99325124-2565-492D-BA16-4244C41BD326}"/>
    <hyperlink ref="A24" r:id="rId23" display="https://www.britannica.com/place/Botswana" xr:uid="{766A10BA-51B6-464C-9FE3-BF4BDF0FF220}"/>
    <hyperlink ref="A25" r:id="rId24" display="https://www.britannica.com/place/Brazil" xr:uid="{2D94DF72-015C-41E0-8EBE-989E54147653}"/>
    <hyperlink ref="A26" r:id="rId25" display="https://www.britannica.com/place/Brunei" xr:uid="{EB0D5010-5136-4204-8F6B-7F7BE64DBF12}"/>
    <hyperlink ref="A27" r:id="rId26" display="https://www.britannica.com/place/Bulgaria" xr:uid="{D6798170-69E5-40DD-99C3-D46064AFAE08}"/>
    <hyperlink ref="A28" r:id="rId27" display="https://www.britannica.com/place/Burkina-Faso" xr:uid="{516A8930-9A1E-4614-BDE2-00B7DD09C3C4}"/>
    <hyperlink ref="A29" r:id="rId28" display="https://www.britannica.com/place/Burundi" xr:uid="{C811CA0A-D2B6-458D-9295-352472BA41DB}"/>
    <hyperlink ref="A30" r:id="rId29" display="https://www.britannica.com/place/Cabo-Verde" xr:uid="{1B2F1C75-BC75-4A56-B654-C58BC5D2816B}"/>
    <hyperlink ref="A31" r:id="rId30" display="https://www.britannica.com/place/Cambodia" xr:uid="{4500E982-7338-44AE-8F90-F6F9BE6749B6}"/>
    <hyperlink ref="A32" r:id="rId31" display="https://www.britannica.com/place/Cameroon" xr:uid="{DDE796AB-3033-48AF-A355-758400AB9321}"/>
    <hyperlink ref="A33" r:id="rId32" display="https://www.britannica.com/place/Canada" xr:uid="{0A3E3F69-7E99-4853-A2F6-BED8675E92C0}"/>
    <hyperlink ref="A34" r:id="rId33" display="https://www.britannica.com/place/Central-African-Republic" xr:uid="{82A82548-3A52-4C70-9C54-71DCA35BE48B}"/>
    <hyperlink ref="A35" r:id="rId34" display="https://www.britannica.com/place/Chad" xr:uid="{5B12C80B-0E51-4F55-B34F-BFBAEAEE1539}"/>
    <hyperlink ref="A36" r:id="rId35" display="https://www.britannica.com/place/Chile" xr:uid="{4A9F1EC5-22FC-404C-87D2-4C4671F19378}"/>
    <hyperlink ref="A37" r:id="rId36" display="https://www.britannica.com/place/China" xr:uid="{E22A96E6-62B0-400C-8057-CCD7DC4ECF58}"/>
    <hyperlink ref="A38" r:id="rId37" display="https://www.britannica.com/place/Colombia" xr:uid="{009F01C9-C47F-4DE2-8D84-4EB3D8B3C12E}"/>
    <hyperlink ref="A39" r:id="rId38" display="https://www.britannica.com/place/Comoros" xr:uid="{AD43DB17-1681-4500-83B5-2B9C15983424}"/>
    <hyperlink ref="A40" r:id="rId39" display="https://www.britannica.com/place/Democratic-Republic-of-the-Congo" xr:uid="{06FA23D7-F8F9-4E5F-A27A-75458B7C31ED}"/>
    <hyperlink ref="A41" r:id="rId40" display="https://www.britannica.com/place/Republic-of-the-Congo" xr:uid="{F6B66600-5E01-4A45-834E-7F33E4B3603C}"/>
    <hyperlink ref="A42" r:id="rId41" display="https://www.britannica.com/place/Costa-Rica" xr:uid="{0F562F5C-E87B-4DD7-99A7-D336CFC3CF14}"/>
    <hyperlink ref="A43" r:id="rId42" display="https://www.britannica.com/place/Cote-dIvoire" xr:uid="{96C66DCC-3BED-4518-A321-F9D5ADF44286}"/>
    <hyperlink ref="A44" r:id="rId43" display="https://www.britannica.com/place/Croatia" xr:uid="{4C11BF95-99A8-43CA-A7A5-28C82E9A9892}"/>
    <hyperlink ref="A45" r:id="rId44" display="https://www.britannica.com/place/Cuba" xr:uid="{8F00C3CD-29AB-4543-BA2D-442D2F08F4E9}"/>
    <hyperlink ref="A46" r:id="rId45" display="https://www.britannica.com/place/Cyprus" xr:uid="{0B3AE0D4-2A36-4415-8DD6-C9538C4558C4}"/>
    <hyperlink ref="A47" r:id="rId46" display="https://www.britannica.com/place/Czech-Republic" xr:uid="{0073BE8D-EB50-4936-BFC7-195DB80B2056}"/>
    <hyperlink ref="A48" r:id="rId47" display="https://www.britannica.com/place/Denmark" xr:uid="{C06FAE24-2053-4212-82C4-E2D5F045161B}"/>
    <hyperlink ref="A49" r:id="rId48" display="https://www.britannica.com/place/Djibouti" xr:uid="{0C92F566-DB22-4CF0-9461-87C067D89762}"/>
    <hyperlink ref="A50" r:id="rId49" display="https://www.britannica.com/place/Dominica" xr:uid="{2755C043-89A6-4704-8465-2880318D255A}"/>
    <hyperlink ref="A51" r:id="rId50" display="https://www.britannica.com/place/Dominican-Republic" xr:uid="{67190B4A-F03D-4E3F-81EA-3F66BA306953}"/>
    <hyperlink ref="A52" r:id="rId51" display="https://www.britannica.com/place/East-Timor" xr:uid="{344856BB-11D2-4824-A544-8D563167079E}"/>
    <hyperlink ref="A53" r:id="rId52" display="https://www.britannica.com/place/Ecuador" xr:uid="{757EDD89-8E2A-46E8-8DB3-DE43316D35BB}"/>
    <hyperlink ref="A54" r:id="rId53" display="https://www.britannica.com/place/Egypt" xr:uid="{628F216C-1C91-41B4-95BE-CFF4932DD482}"/>
    <hyperlink ref="A55" r:id="rId54" display="https://www.britannica.com/place/El-Salvador" xr:uid="{60F6ED2C-0F34-4108-92BC-CEC0075D93A7}"/>
    <hyperlink ref="A56" r:id="rId55" display="https://www.britannica.com/place/Equatorial-Guinea" xr:uid="{9B229789-2849-4B0F-B9E9-7E8F0E5A1D6C}"/>
    <hyperlink ref="A57" r:id="rId56" display="https://www.britannica.com/place/Eritrea" xr:uid="{F9B28450-96E0-4D85-82BD-7C0A76BDA657}"/>
    <hyperlink ref="A58" r:id="rId57" display="https://www.britannica.com/place/Estonia" xr:uid="{DDAAF003-7E78-48BA-A333-26DB95A52CE7}"/>
    <hyperlink ref="A59" r:id="rId58" display="https://www.britannica.com/place/Eswatini" xr:uid="{3019C6A5-C3E5-4FD2-B0F9-839306F6A003}"/>
    <hyperlink ref="A60" r:id="rId59" display="https://www.britannica.com/place/Ethiopia" xr:uid="{CB01D96E-34AB-4E5C-B6DA-1FF7952CCB6E}"/>
    <hyperlink ref="A61" r:id="rId60" display="https://www.britannica.com/place/Fiji-republic-Pacific-Ocean" xr:uid="{316B2C81-22B8-4ABA-B766-26BA431BE9FC}"/>
    <hyperlink ref="A62" r:id="rId61" display="https://www.britannica.com/place/Finland" xr:uid="{76BC26E1-35E1-4CAD-82C7-4DAFC26648FB}"/>
    <hyperlink ref="A63" r:id="rId62" display="https://www.britannica.com/place/France" xr:uid="{82828368-9FEC-476E-AD60-CC2D9138C1B6}"/>
    <hyperlink ref="A64" r:id="rId63" display="https://www.britannica.com/place/Gabon" xr:uid="{4571D6F7-E379-4624-8DE2-C2AB62F17692}"/>
    <hyperlink ref="A65" r:id="rId64" display="https://www.britannica.com/place/The-Gambia" xr:uid="{3439E708-22A3-416B-B2AC-665023A96823}"/>
    <hyperlink ref="A66" r:id="rId65" display="https://www.britannica.com/place/Georgia" xr:uid="{1D2B722D-246A-4B12-9358-F5065B693F06}"/>
    <hyperlink ref="A67" r:id="rId66" display="https://www.britannica.com/place/Germany" xr:uid="{8D8ECD56-48DF-43A9-A310-AA84BCE75021}"/>
    <hyperlink ref="A68" r:id="rId67" display="https://www.britannica.com/place/Ghana" xr:uid="{3C911668-8EE7-43BD-B856-602AFC67FDC6}"/>
    <hyperlink ref="A69" r:id="rId68" display="https://www.britannica.com/place/Greece" xr:uid="{4FD22FD8-FE41-462D-A570-7C7D3E8F3D0C}"/>
    <hyperlink ref="A70" r:id="rId69" display="https://www.britannica.com/place/Grenada" xr:uid="{9811522F-B00C-46E6-80F7-0603814269EC}"/>
    <hyperlink ref="A71" r:id="rId70" display="https://www.britannica.com/place/Guatemala" xr:uid="{D0F11048-382F-4DB3-92C2-B2FCF36FD81B}"/>
    <hyperlink ref="A72" r:id="rId71" display="https://www.britannica.com/place/Guinea" xr:uid="{16F985BA-D2A8-491B-B750-2A41F139BD9C}"/>
    <hyperlink ref="A73" r:id="rId72" display="https://www.britannica.com/place/Guinea-Bissau" xr:uid="{C7A04C12-E36C-4152-B6C1-4FA1495AC34A}"/>
    <hyperlink ref="A74" r:id="rId73" display="https://www.britannica.com/place/Guyana" xr:uid="{CBC4A3F1-9A52-41C3-B377-5C25C8C91335}"/>
    <hyperlink ref="A75" r:id="rId74" display="https://www.britannica.com/place/Haiti" xr:uid="{B6FD3040-F7E4-4410-8446-5733236F256C}"/>
    <hyperlink ref="A76" r:id="rId75" display="https://www.britannica.com/place/Honduras" xr:uid="{BAE287D5-2E46-4451-8D3B-42F119F5EACF}"/>
    <hyperlink ref="A77" r:id="rId76" display="https://www.britannica.com/place/Hungary" xr:uid="{85E785E0-ED3B-42B2-887E-681E7566B152}"/>
    <hyperlink ref="A78" r:id="rId77" display="https://www.britannica.com/place/Iceland" xr:uid="{BB5A7C20-868D-478F-B1C1-BF6911F5A462}"/>
    <hyperlink ref="A79" r:id="rId78" display="https://www.britannica.com/place/India" xr:uid="{3843E33B-37E7-412A-B67B-32204615F2BA}"/>
    <hyperlink ref="A80" r:id="rId79" display="https://www.britannica.com/place/Indonesia" xr:uid="{F23632AF-340E-469C-AB11-E7D3B0720E5B}"/>
    <hyperlink ref="A81" r:id="rId80" display="https://www.britannica.com/place/Iran" xr:uid="{5A3609DB-2631-4E7F-BB2E-C4AB296EBECF}"/>
    <hyperlink ref="A82" r:id="rId81" display="https://www.britannica.com/place/Iraq" xr:uid="{24F9D176-0899-417D-A03D-6574F591FC9D}"/>
    <hyperlink ref="A83" r:id="rId82" display="https://www.britannica.com/place/Ireland" xr:uid="{7F6F9B45-49CC-4926-ACF1-F21E9F328A35}"/>
    <hyperlink ref="A84" r:id="rId83" display="https://www.britannica.com/place/Israel" xr:uid="{86CE1471-D63B-43C4-A9F9-29B462134E30}"/>
    <hyperlink ref="A85" r:id="rId84" display="https://www.britannica.com/place/Italy" xr:uid="{11A04742-759A-4364-BA5A-091BE06C2D0D}"/>
    <hyperlink ref="A86" r:id="rId85" display="https://www.britannica.com/place/Jamaica" xr:uid="{868F980A-CD90-43E4-B3F9-7C0DB442D110}"/>
    <hyperlink ref="A87" r:id="rId86" display="https://www.britannica.com/place/Japan" xr:uid="{4A97C931-AEA1-4313-80A9-69DFA3F2BC48}"/>
    <hyperlink ref="A88" r:id="rId87" display="https://www.britannica.com/place/Jordan" xr:uid="{4971848B-0C99-4A97-BBF2-F56231619779}"/>
    <hyperlink ref="A89" r:id="rId88" display="https://www.britannica.com/place/Kazakhstan" xr:uid="{231E0F8D-27B0-4D42-88C3-5F2D2901AD79}"/>
    <hyperlink ref="A90" r:id="rId89" display="https://www.britannica.com/place/Kenya" xr:uid="{77F96165-35E1-4D1F-9DF4-047430AD8ABC}"/>
    <hyperlink ref="A91" r:id="rId90" display="https://www.britannica.com/place/Kiribati" xr:uid="{2CC2E737-7FF9-41BB-87F4-B8CE16BAEE04}"/>
    <hyperlink ref="A92" r:id="rId91" display="https://www.britannica.com/place/North-Korea" xr:uid="{A431DFB3-3CD7-45B3-8552-ACC23589A5D1}"/>
    <hyperlink ref="A93" r:id="rId92" display="https://www.britannica.com/place/South-Korea" xr:uid="{591738BF-B9DB-4826-B7F3-D01A7EB50914}"/>
    <hyperlink ref="A94" r:id="rId93" display="https://www.britannica.com/place/Kosovo" xr:uid="{3015A060-6270-4A15-9118-E69428D324BC}"/>
    <hyperlink ref="A95" r:id="rId94" display="https://www.britannica.com/place/Kuwait" xr:uid="{2305271A-DF7C-4122-9058-10747002B140}"/>
    <hyperlink ref="A96" r:id="rId95" display="https://www.britannica.com/place/Kyrgyzstan" xr:uid="{4B037D68-414A-44E2-9559-F561ED47B78E}"/>
    <hyperlink ref="A97" r:id="rId96" display="https://www.britannica.com/place/Laos" xr:uid="{27E35084-45AC-475F-9A77-0D55FD710AEC}"/>
    <hyperlink ref="A98" r:id="rId97" display="https://www.britannica.com/place/Latvia" xr:uid="{8AB2B482-540A-4A00-92D9-E3262A60D967}"/>
    <hyperlink ref="A99" r:id="rId98" display="https://www.britannica.com/place/Lebanon" xr:uid="{086D22E7-24CC-4175-83E8-9C202136D09B}"/>
    <hyperlink ref="A100" r:id="rId99" display="https://www.britannica.com/place/Lesotho" xr:uid="{16A5A594-075F-471E-BF0F-21A1433016B5}"/>
    <hyperlink ref="A101" r:id="rId100" display="https://www.britannica.com/place/Liberia" xr:uid="{15409761-A0EB-4903-B6B2-F2CC232946D3}"/>
    <hyperlink ref="A102" r:id="rId101" display="https://www.britannica.com/place/Libya" xr:uid="{8327854E-D509-4D4B-B6F8-C8264751C13B}"/>
    <hyperlink ref="A103" r:id="rId102" display="https://www.britannica.com/place/Liechtenstein" xr:uid="{63699D2E-9BE6-435B-9573-447CF7EC1BDD}"/>
    <hyperlink ref="A104" r:id="rId103" display="https://www.britannica.com/place/Lithuania" xr:uid="{F4690C7A-926B-440E-BE33-803D08944633}"/>
    <hyperlink ref="A105" r:id="rId104" display="https://www.britannica.com/place/Luxembourg" xr:uid="{653E7174-CBAE-4F5E-9475-82CC5ADBCEDD}"/>
    <hyperlink ref="A106" r:id="rId105" display="https://www.britannica.com/place/Madagascar" xr:uid="{769A3F5A-A932-4ECE-B26C-2D17744EE421}"/>
    <hyperlink ref="A107" r:id="rId106" display="https://www.britannica.com/place/Malawi" xr:uid="{F03C0776-486D-4A23-8D04-6A695D765C1C}"/>
    <hyperlink ref="A108" r:id="rId107" display="https://www.britannica.com/place/Malaysia" xr:uid="{A7873526-06D8-425E-9FA2-21AFB7E50170}"/>
    <hyperlink ref="A109" r:id="rId108" display="https://www.britannica.com/place/Maldives" xr:uid="{8240E60B-0BD6-4CAE-A784-3B1EEDF7AE51}"/>
    <hyperlink ref="A110" r:id="rId109" display="https://www.britannica.com/place/Mali" xr:uid="{C49C2C43-C662-4335-8D6B-2721F0AFAF86}"/>
    <hyperlink ref="A111" r:id="rId110" display="https://www.britannica.com/place/Malta" xr:uid="{8E193041-E5FD-4109-852B-2CC826E7F1B3}"/>
    <hyperlink ref="A112" r:id="rId111" display="https://www.britannica.com/place/Marshall-Islands" xr:uid="{8ECC3E0F-A9AB-41D6-A71F-EF32BEC0A1A3}"/>
    <hyperlink ref="A113" r:id="rId112" display="https://www.britannica.com/place/Mauritania" xr:uid="{5BC436A0-620E-4699-895F-1B8F7730B330}"/>
    <hyperlink ref="A114" r:id="rId113" display="https://www.britannica.com/place/Mauritius" xr:uid="{57059E19-E4FF-425F-B514-65E8A6E4C018}"/>
    <hyperlink ref="A115" r:id="rId114" display="https://www.britannica.com/place/Mexico" xr:uid="{AD70C794-D603-4333-89CE-2257A7E9CF72}"/>
    <hyperlink ref="A116" r:id="rId115" display="https://www.britannica.com/place/Micronesia-republic-Pacific-Ocean" xr:uid="{0531CE54-7741-43BC-BE05-A43D65A8B728}"/>
    <hyperlink ref="A117" r:id="rId116" display="https://www.britannica.com/place/Moldova" xr:uid="{01FED783-DB5C-4098-9AE5-FDD672D426D4}"/>
    <hyperlink ref="A118" r:id="rId117" display="https://www.britannica.com/place/Monaco" xr:uid="{95654D7C-AFB9-47A3-9322-654BDA04D94E}"/>
    <hyperlink ref="A119" r:id="rId118" display="https://www.britannica.com/place/Mongolia" xr:uid="{B6DEA1DC-F5E9-4B87-B965-CD29BBEACACB}"/>
    <hyperlink ref="A120" r:id="rId119" display="https://www.britannica.com/place/Montenegro" xr:uid="{DBC980AA-B08F-41CF-B77F-8CFDF36F0A2A}"/>
    <hyperlink ref="A121" r:id="rId120" display="https://www.britannica.com/place/Morocco" xr:uid="{101CEB9B-9883-4636-9044-00525EF5473A}"/>
    <hyperlink ref="A122" r:id="rId121" display="https://www.britannica.com/place/Mozambique" xr:uid="{13FAC069-9AC5-43D2-B25A-B1ED0B0ACC85}"/>
    <hyperlink ref="A123" r:id="rId122" display="https://www.britannica.com/place/Myanmar" xr:uid="{977A4206-FCD1-4669-999C-05BF380A6529}"/>
    <hyperlink ref="A124" r:id="rId123" display="https://www.britannica.com/place/Namibia" xr:uid="{E265B2EA-944C-492E-94BF-E4E801F8E67C}"/>
    <hyperlink ref="A125" r:id="rId124" display="https://www.britannica.com/place/Nauru" xr:uid="{2C7CA646-B81E-4961-9F21-087C6AAC3200}"/>
    <hyperlink ref="A126" r:id="rId125" display="https://www.britannica.com/place/Nepal" xr:uid="{F38CAC54-3632-443C-9067-49059801A179}"/>
    <hyperlink ref="A127" r:id="rId126" display="https://www.britannica.com/place/Netherlands" xr:uid="{1ECFE269-3750-4323-AB25-C2D1AD4F0E00}"/>
    <hyperlink ref="A128" r:id="rId127" display="https://www.britannica.com/place/New-Zealand" xr:uid="{F3817A1B-3907-46A6-B2A0-87B92BC24514}"/>
    <hyperlink ref="A129" r:id="rId128" display="https://www.britannica.com/place/Nicaragua" xr:uid="{EB0AC54C-216E-4F24-88DB-E4FB39481AB6}"/>
    <hyperlink ref="A130" r:id="rId129" display="https://www.britannica.com/place/Niger" xr:uid="{995D6E8C-D3D8-4675-B281-32D151B6BAAE}"/>
    <hyperlink ref="A131" r:id="rId130" display="https://www.britannica.com/place/Nigeria" xr:uid="{C349D5B8-2926-401D-9D3A-F7757913F3A8}"/>
    <hyperlink ref="A132" r:id="rId131" display="https://www.britannica.com/place/North-Macedonia" xr:uid="{910E0A5D-2EFD-4193-8139-DB50FBB694E2}"/>
    <hyperlink ref="A133" r:id="rId132" display="https://www.britannica.com/place/Norway" xr:uid="{6A3059AF-3149-4FC9-8350-3F7C343AB51A}"/>
    <hyperlink ref="A134" r:id="rId133" display="https://www.britannica.com/place/Oman" xr:uid="{56DB916A-A941-4E6C-8CF6-E72EFF5E798B}"/>
    <hyperlink ref="A135" r:id="rId134" display="https://www.britannica.com/place/Pakistan" xr:uid="{66C9FE74-820E-47D4-BFB0-8EBAD4934212}"/>
    <hyperlink ref="A136" r:id="rId135" display="https://www.britannica.com/place/Palau" xr:uid="{54EF41A7-1672-4024-BC73-E6FD7763F5FD}"/>
    <hyperlink ref="A137" r:id="rId136" display="https://www.britannica.com/place/Panama" xr:uid="{06FF46D7-F6D8-4E37-ACE9-2B99A71AFF39}"/>
    <hyperlink ref="A138" r:id="rId137" display="https://www.britannica.com/place/Papua-New-Guinea" xr:uid="{9D1AE6F3-B9FA-4BAB-A729-39F3067C0AB5}"/>
    <hyperlink ref="A139" r:id="rId138" display="https://www.britannica.com/place/Paraguay" xr:uid="{143E1761-3971-48EC-8E18-DCDE5CA7C7F5}"/>
    <hyperlink ref="A140" r:id="rId139" display="https://www.britannica.com/place/Peru" xr:uid="{FA98DE04-BF62-49AB-B647-6582A17E939B}"/>
    <hyperlink ref="A141" r:id="rId140" display="https://www.britannica.com/place/Philippines" xr:uid="{74012404-EFB2-4052-81FE-33323C4305EF}"/>
    <hyperlink ref="A142" r:id="rId141" display="https://www.britannica.com/place/Poland" xr:uid="{058D7E2F-0FCD-4A5B-9359-DABDD1BC36BC}"/>
    <hyperlink ref="A143" r:id="rId142" display="https://www.britannica.com/place/Portugal" xr:uid="{3F15546D-AB14-40E5-8F0C-44DDD721EDFB}"/>
    <hyperlink ref="A144" r:id="rId143" display="https://www.britannica.com/place/Qatar" xr:uid="{7A30C998-86A9-4309-9A16-C526B4F5AD4D}"/>
    <hyperlink ref="A145" r:id="rId144" display="https://www.britannica.com/place/Romania" xr:uid="{2011936D-A5D3-4573-866E-68859ED17C3E}"/>
    <hyperlink ref="A146" r:id="rId145" display="https://www.britannica.com/place/Russia" xr:uid="{AE971D3F-2DB8-453C-A866-4E47E7D01F8E}"/>
    <hyperlink ref="A147" r:id="rId146" display="https://www.britannica.com/place/Rwanda" xr:uid="{17EF37E4-C9E7-446C-A58A-CCC2BBEA520F}"/>
    <hyperlink ref="A148" r:id="rId147" display="https://www.britannica.com/place/Saint-Kitts-and-Nevis" xr:uid="{44094659-4295-498C-9EE0-8188A3451B65}"/>
    <hyperlink ref="A149" r:id="rId148" display="https://www.britannica.com/place/Saint-Lucia" xr:uid="{0E027577-8DA4-485B-97C6-FAC44A20E7D4}"/>
    <hyperlink ref="A150" r:id="rId149" display="https://www.britannica.com/place/Saint-Vincent-and-the-Grenadines" xr:uid="{2364C131-B395-4993-830F-8E2A719604ED}"/>
    <hyperlink ref="A151" r:id="rId150" display="https://www.britannica.com/place/Samoa-island-nation-Pacific-Ocean" xr:uid="{ED0D5D4D-D2DB-4BA4-B14C-3B19B586F588}"/>
    <hyperlink ref="A152" r:id="rId151" display="https://www.britannica.com/place/San-Marino-republic-Europe" xr:uid="{1D7080B1-C50E-47DA-90BC-7962FC94F482}"/>
    <hyperlink ref="A153" r:id="rId152" display="https://www.britannica.com/place/Sao-Tome-and-Principe" xr:uid="{D70C13F0-39FD-4E50-B4D7-3A05C7076656}"/>
    <hyperlink ref="A154" r:id="rId153" display="https://www.britannica.com/place/Saudi-Arabia" xr:uid="{B16638BA-5D6C-49C4-B54B-C891D6C78FD1}"/>
    <hyperlink ref="A155" r:id="rId154" display="https://www.britannica.com/place/Senegal" xr:uid="{BD2F190A-CC09-426B-8259-06DA7DF06B59}"/>
    <hyperlink ref="A156" r:id="rId155" display="https://www.britannica.com/place/Serbia" xr:uid="{77A8BB21-D28D-4653-9F8B-3F27D7A269DA}"/>
    <hyperlink ref="A157" r:id="rId156" display="https://www.britannica.com/place/Seychelles" xr:uid="{4BBAAF33-6792-467C-9B0A-8E31760B83B6}"/>
    <hyperlink ref="A158" r:id="rId157" display="https://www.britannica.com/place/Sierra-Leone" xr:uid="{F8678E15-3863-4A50-9D44-8E1EE40510EE}"/>
    <hyperlink ref="A159" r:id="rId158" display="https://www.britannica.com/place/Singapore" xr:uid="{DCFF4CA1-C3E0-4E8D-9028-1BC695F84C3A}"/>
    <hyperlink ref="A160" r:id="rId159" display="https://www.britannica.com/place/Slovakia" xr:uid="{C36CB723-F195-4202-AE9A-83C3F3313CA1}"/>
    <hyperlink ref="A161" r:id="rId160" display="https://www.britannica.com/place/Slovenia" xr:uid="{7C768296-F767-4497-B64C-B23E8CFBC909}"/>
    <hyperlink ref="A162" r:id="rId161" display="https://www.britannica.com/place/Solomon-Islands" xr:uid="{B724F303-0C05-4131-9830-275B9D1D657E}"/>
    <hyperlink ref="A163" r:id="rId162" display="https://www.britannica.com/place/Somalia" xr:uid="{FF2141E5-4F58-4661-80CE-63D5AC308B7D}"/>
    <hyperlink ref="A164" r:id="rId163" display="https://www.britannica.com/place/South-Africa" xr:uid="{560F17F8-78B3-4F7B-B47B-B015148D64E6}"/>
    <hyperlink ref="A165" r:id="rId164" display="https://www.britannica.com/place/Spain" xr:uid="{6BD431FD-412E-4DCF-A6B7-DEF31E31A91B}"/>
    <hyperlink ref="A166" r:id="rId165" display="https://www.britannica.com/place/Sri-Lanka" xr:uid="{825B924D-E2C0-4676-9F44-F18D8F6776B5}"/>
    <hyperlink ref="A167" r:id="rId166" display="https://www.britannica.com/place/Sudan" xr:uid="{FDB2D6E4-2D91-4501-B0B1-B407A0EABD5D}"/>
    <hyperlink ref="A168" r:id="rId167" display="https://www.britannica.com/place/South-Sudan" xr:uid="{426AF3C7-8C85-4694-B941-5EBA9A40A4D9}"/>
    <hyperlink ref="A169" r:id="rId168" display="https://www.britannica.com/place/Suriname" xr:uid="{09369693-626C-4608-9655-48A9D8DF0EB2}"/>
    <hyperlink ref="A170" r:id="rId169" display="https://www.britannica.com/place/Sweden" xr:uid="{B8CFFF61-8797-4AE2-B81E-B60C744FBC63}"/>
    <hyperlink ref="A171" r:id="rId170" display="https://www.britannica.com/place/Switzerland" xr:uid="{6F0DD83C-C385-414C-9A4C-594BF4090D58}"/>
    <hyperlink ref="A172" r:id="rId171" display="https://www.britannica.com/place/Syria" xr:uid="{FF538E8E-D8DD-4728-8261-82D1CFD1D214}"/>
    <hyperlink ref="A173" r:id="rId172" display="https://www.britannica.com/place/Taiwan" xr:uid="{D075328D-43C1-4148-B895-DFECF7162313}"/>
    <hyperlink ref="A174" r:id="rId173" display="https://www.britannica.com/place/Tajikistan" xr:uid="{8E0724F9-4E9B-460C-8733-EAEC93F8AB01}"/>
    <hyperlink ref="A175" r:id="rId174" display="https://www.britannica.com/place/Tanzania" xr:uid="{F48077FA-7D49-4D99-90D1-B990308A214A}"/>
    <hyperlink ref="A176" r:id="rId175" display="https://www.britannica.com/place/Thailand" xr:uid="{72DBAA7C-5A05-40DF-BA76-AF4719A4893F}"/>
    <hyperlink ref="A177" r:id="rId176" display="https://www.britannica.com/place/Togo" xr:uid="{83BAEECA-71A2-405C-BE43-61DB480CB147}"/>
    <hyperlink ref="A178" r:id="rId177" display="https://www.britannica.com/place/Tonga" xr:uid="{4FEBA2E9-66F6-4415-B79F-AB81DC386D9B}"/>
    <hyperlink ref="A179" r:id="rId178" display="https://www.britannica.com/place/Trinidad-and-Tobago" xr:uid="{896C9A39-121A-41CD-A731-8235D38667D0}"/>
    <hyperlink ref="A180" r:id="rId179" display="https://www.britannica.com/place/Tunisia" xr:uid="{CEFAAEBA-64AB-4E9A-80E4-9EE5959C938B}"/>
    <hyperlink ref="A181" r:id="rId180" display="https://www.britannica.com/place/Turkey" xr:uid="{87039659-FA84-4603-8271-4019F434A120}"/>
    <hyperlink ref="A182" r:id="rId181" display="https://www.britannica.com/place/Turkmenistan" xr:uid="{9678379E-4F0C-4999-8FA6-60506E71C236}"/>
    <hyperlink ref="A183" r:id="rId182" display="https://www.britannica.com/place/Tuvalu" xr:uid="{458BCC58-E42E-4721-8C8D-4DF084287684}"/>
    <hyperlink ref="A184" r:id="rId183" display="https://www.britannica.com/place/Uganda" xr:uid="{05E48C4B-C910-45EF-9FB3-7034D86B4946}"/>
    <hyperlink ref="A185" r:id="rId184" display="https://www.britannica.com/place/Ukraine" xr:uid="{987651BC-78A5-473E-A87F-735F64AC6CB6}"/>
    <hyperlink ref="A186" r:id="rId185" display="https://www.britannica.com/place/United-Arab-Emirates" xr:uid="{D5967185-63B0-4AAB-B9FD-9DA219065A29}"/>
    <hyperlink ref="A187" r:id="rId186" display="https://www.britannica.com/place/United-Kingdom" xr:uid="{5A956DA9-ACF9-4937-ABB6-FCC0982ABBF9}"/>
    <hyperlink ref="A188" r:id="rId187" display="https://www.britannica.com/place/United-States" xr:uid="{3B92B076-FD8E-4A65-A806-8AC5894680AC}"/>
    <hyperlink ref="A189" r:id="rId188" display="https://www.britannica.com/place/Uruguay" xr:uid="{8B4B81AB-634F-4AEA-A32F-D6556959DA87}"/>
    <hyperlink ref="A190" r:id="rId189" display="https://www.britannica.com/place/Uzbekistan" xr:uid="{0E61F000-9FFC-49F8-9005-40319DDFC9FA}"/>
    <hyperlink ref="A191" r:id="rId190" display="https://www.britannica.com/place/Vanuatu" xr:uid="{78FA9986-11E1-498B-A552-FD5C7ACBC3EF}"/>
    <hyperlink ref="A192" r:id="rId191" display="https://www.britannica.com/place/Vatican-City" xr:uid="{0EDD5C2C-7CA5-4845-930A-E8880092EBE5}"/>
    <hyperlink ref="A193" r:id="rId192" display="https://www.britannica.com/place/Venezuela" xr:uid="{34FA9D13-6B25-4945-AFF0-C0786468D512}"/>
    <hyperlink ref="A194" r:id="rId193" display="https://www.britannica.com/place/Vietnam" xr:uid="{3FE635F3-079B-4184-9005-0BD4D2755E57}"/>
    <hyperlink ref="A195" r:id="rId194" display="https://www.britannica.com/place/Yemen" xr:uid="{7263D7C0-E422-448D-A06F-6E7F6AE32021}"/>
    <hyperlink ref="A196" r:id="rId195" display="https://www.britannica.com/place/Zambia" xr:uid="{35B446DB-AC65-4234-A813-33725D6D3A24}"/>
    <hyperlink ref="A197" r:id="rId196" display="https://www.britannica.com/place/Zimbabwe" xr:uid="{0C5BF226-08A8-4F58-9F85-E729F8A594D1}"/>
  </hyperlinks>
  <pageMargins left="0.7" right="0.7" top="0.75" bottom="0.75" header="0.3" footer="0.3"/>
  <tableParts count="1">
    <tablePart r:id="rId19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4C8A5-4AB6-4925-9031-14BD1E4B1A7F}">
  <sheetPr codeName="Sheet3"/>
  <dimension ref="B1:B5"/>
  <sheetViews>
    <sheetView showGridLines="0" zoomScale="64" workbookViewId="0">
      <selection activeCell="B4" sqref="B4"/>
    </sheetView>
  </sheetViews>
  <sheetFormatPr defaultRowHeight="14.5" x14ac:dyDescent="0.35"/>
  <cols>
    <col min="2" max="2" width="112" bestFit="1" customWidth="1"/>
    <col min="3" max="3" width="50.453125" customWidth="1"/>
  </cols>
  <sheetData>
    <row r="1" spans="2:2" ht="15" thickBot="1" x14ac:dyDescent="0.4"/>
    <row r="2" spans="2:2" ht="15" thickBot="1" x14ac:dyDescent="0.4">
      <c r="B2" s="21" t="s">
        <v>237</v>
      </c>
    </row>
    <row r="3" spans="2:2" ht="15" thickBot="1" x14ac:dyDescent="0.4"/>
    <row r="4" spans="2:2" ht="15" thickBot="1" x14ac:dyDescent="0.4">
      <c r="B4" s="20" t="s">
        <v>236</v>
      </c>
    </row>
    <row r="5" spans="2:2" ht="357" customHeight="1" thickBot="1" x14ac:dyDescent="0.4">
      <c r="B5" s="19" t="s">
        <v>231</v>
      </c>
    </row>
  </sheetData>
  <sheetProtection algorithmName="SHA-512" hashValue="a4NW4jCeUdsPJPKHvj6Oo3rTUPzH98dni30RWeEPe2OKgyi94nshi1oqYLFF6UE8i3rfdU/Pw54hEmUYWysaZg==" saltValue="qDfstsO4tNqZQzKUz/2uX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Game</vt:lpstr>
      <vt:lpstr>Countries</vt:lpstr>
      <vt:lpstr>Editing</vt:lpstr>
      <vt:lpstr>Correct_guesses</vt:lpstr>
      <vt:lpstr>Countries</vt:lpstr>
      <vt:lpstr>First_letter</vt:lpstr>
      <vt:lpstr>Guesses</vt:lpstr>
      <vt:lpstr>Number_of_countries</vt:lpstr>
      <vt:lpstr>Percentage_completed</vt:lpstr>
      <vt:lpstr>Target_letter</vt:lpstr>
      <vt:lpstr>Target_letter_RAND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Lily Burgess</dc:creator>
  <cp:lastModifiedBy>Lily Burgess [bn23l3b]</cp:lastModifiedBy>
  <dcterms:created xsi:type="dcterms:W3CDTF">2025-03-26T12:45:44Z</dcterms:created>
  <dcterms:modified xsi:type="dcterms:W3CDTF">2025-03-26T16:48:44Z</dcterms:modified>
</cp:coreProperties>
</file>